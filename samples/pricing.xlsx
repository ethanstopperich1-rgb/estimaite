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Workbook" sheetId="1" r:id="rId5"/>
    <sheet state="visible" name="Copy of Pricing Workbook" sheetId="2" r:id="rId6"/>
    <sheet state="visible" name="Sheet1" sheetId="3" r:id="rId7"/>
    <sheet state="visible" name="Sheet6" sheetId="4" r:id="rId8"/>
    <sheet state="visible" name="Sheet5" sheetId="5" r:id="rId9"/>
    <sheet state="visible" name="Sheet4" sheetId="6" r:id="rId10"/>
    <sheet state="visible" name="Sheet3" sheetId="7" r:id="rId11"/>
    <sheet state="visible" name="Sheet2" sheetId="8" r:id="rId12"/>
    <sheet state="visible" name="Backend" sheetId="9" r:id="rId13"/>
  </sheets>
  <definedNames/>
  <calcPr/>
</workbook>
</file>

<file path=xl/sharedStrings.xml><?xml version="1.0" encoding="utf-8"?>
<sst xmlns="http://schemas.openxmlformats.org/spreadsheetml/2006/main" count="649" uniqueCount="208">
  <si>
    <t>Inputs</t>
  </si>
  <si>
    <t>Inspection Work</t>
  </si>
  <si>
    <t>Price</t>
  </si>
  <si>
    <t>Total Squares</t>
  </si>
  <si>
    <t># of Additional Layers</t>
  </si>
  <si>
    <t>Non-Walk &amp; 2nd Story Sq(s)</t>
  </si>
  <si>
    <t>Pipeboots</t>
  </si>
  <si>
    <t>Flat Roof Sq(s)</t>
  </si>
  <si>
    <t>Labor SQ</t>
  </si>
  <si>
    <t>Roof Vents</t>
  </si>
  <si>
    <t>Ridge ln ft</t>
  </si>
  <si>
    <t>Electrical Boot</t>
  </si>
  <si>
    <t>Hip ln ft</t>
  </si>
  <si>
    <t>Decking (per Sheet)</t>
  </si>
  <si>
    <t>Valley ln ft</t>
  </si>
  <si>
    <t>Structural Framing ln ft</t>
  </si>
  <si>
    <t>Rake ln ft</t>
  </si>
  <si>
    <t>Wall Flashing ln ft</t>
  </si>
  <si>
    <t>Eave ln ft</t>
  </si>
  <si>
    <t>Chimney Flashing</t>
  </si>
  <si>
    <t>Labor Squares</t>
  </si>
  <si>
    <t>Skylight Flashing</t>
  </si>
  <si>
    <t>Fasia per ln ft</t>
  </si>
  <si>
    <t>Financing</t>
  </si>
  <si>
    <t>Soffit per ln ft</t>
  </si>
  <si>
    <t>Dealer Fee %</t>
  </si>
  <si>
    <t>Smart Vents per ln ft</t>
  </si>
  <si>
    <t>Interest Rate</t>
  </si>
  <si>
    <t>---------------------------------</t>
  </si>
  <si>
    <t>Total</t>
  </si>
  <si>
    <t>Months of Loan</t>
  </si>
  <si>
    <t>Gutters per ln ft</t>
  </si>
  <si>
    <t>Down payment</t>
  </si>
  <si>
    <t># of Downspouts</t>
  </si>
  <si>
    <t>gutter guards per ln ft</t>
  </si>
  <si>
    <t>Extra Factors</t>
  </si>
  <si>
    <t>Margin (must have % sign)</t>
  </si>
  <si>
    <t xml:space="preserve"> </t>
  </si>
  <si>
    <t>Shingles</t>
  </si>
  <si>
    <t>Metal</t>
  </si>
  <si>
    <t>30 and 5</t>
  </si>
  <si>
    <t>Cash Price</t>
  </si>
  <si>
    <t>with DF and DP</t>
  </si>
  <si>
    <t>Monthly</t>
  </si>
  <si>
    <t>Rib panel 26 ga</t>
  </si>
  <si>
    <t>Marketing Discount</t>
  </si>
  <si>
    <t>Online Coupon</t>
  </si>
  <si>
    <t>30 Day Price</t>
  </si>
  <si>
    <t>30 and 10</t>
  </si>
  <si>
    <t>Standing seam 26 ga</t>
  </si>
  <si>
    <t>Class 4 Lifetime</t>
  </si>
  <si>
    <t>Standing seam 24 ga</t>
  </si>
  <si>
    <t>Project Details</t>
  </si>
  <si>
    <t>Martir</t>
  </si>
  <si>
    <t>Address</t>
  </si>
  <si>
    <t>Product</t>
  </si>
  <si>
    <t>Color</t>
  </si>
  <si>
    <t>Closing Price</t>
  </si>
  <si>
    <t>Financed Company or Cash</t>
  </si>
  <si>
    <t>Name</t>
  </si>
  <si>
    <t xml:space="preserve">          </t>
  </si>
  <si>
    <t>Inspection Items</t>
  </si>
  <si>
    <t>Walkable Squares</t>
  </si>
  <si>
    <t xml:space="preserve">Ridge </t>
  </si>
  <si>
    <t xml:space="preserve">Skylight Flashing </t>
  </si>
  <si>
    <t>Hip</t>
  </si>
  <si>
    <t>Non-Walkable + 2nd Story Sq</t>
  </si>
  <si>
    <t>Eave</t>
  </si>
  <si>
    <t>Metal Roof Vents</t>
  </si>
  <si>
    <t>Additional squares</t>
  </si>
  <si>
    <t>Rake</t>
  </si>
  <si>
    <t>Valley</t>
  </si>
  <si>
    <t>Decking (per sheet)</t>
  </si>
  <si>
    <t>Margin</t>
  </si>
  <si>
    <t>Products</t>
  </si>
  <si>
    <t>Advantage</t>
  </si>
  <si>
    <t>Quantity</t>
  </si>
  <si>
    <t>Cost</t>
  </si>
  <si>
    <t>Advantage Plus</t>
  </si>
  <si>
    <t>Poly Shingle</t>
  </si>
  <si>
    <t>GAF HDZ Shingle</t>
  </si>
  <si>
    <t>Atlas Pinnacle Shingle</t>
  </si>
  <si>
    <t>Malarkey Vista Shingle</t>
  </si>
  <si>
    <t>GAF HDZ Ridge</t>
  </si>
  <si>
    <t>Atlas Ridge</t>
  </si>
  <si>
    <t>Malarkey Ridge</t>
  </si>
  <si>
    <t>GAF starter</t>
  </si>
  <si>
    <t>Atlas starter</t>
  </si>
  <si>
    <t>Malarkey starter</t>
  </si>
  <si>
    <t>Synthetic Underlayment</t>
  </si>
  <si>
    <t>Ice and Water Shield</t>
  </si>
  <si>
    <t>Drip Edge</t>
  </si>
  <si>
    <t>Ridge Vent</t>
  </si>
  <si>
    <t>Cap Nails</t>
  </si>
  <si>
    <t>Coil Nails</t>
  </si>
  <si>
    <t>Spray Paint</t>
  </si>
  <si>
    <t>Geocel</t>
  </si>
  <si>
    <t>Shingle Delivery</t>
  </si>
  <si>
    <t>Poly Shingle Delivery</t>
  </si>
  <si>
    <t>Project Manager</t>
  </si>
  <si>
    <t>Shingle Labor</t>
  </si>
  <si>
    <t>non-walkable</t>
  </si>
  <si>
    <t>Flat roof</t>
  </si>
  <si>
    <t>Dump fee</t>
  </si>
  <si>
    <t>Dump Fee</t>
  </si>
  <si>
    <t>Free 3 sheets</t>
  </si>
  <si>
    <t>Free 3 Sheets</t>
  </si>
  <si>
    <t>Full Report Fee</t>
  </si>
  <si>
    <t>Classic Rib Panel</t>
  </si>
  <si>
    <t>Lifetime Pro</t>
  </si>
  <si>
    <t>Lifetime Ultra</t>
  </si>
  <si>
    <t>Rib Panel 29g</t>
  </si>
  <si>
    <t>Rib Panel 26g</t>
  </si>
  <si>
    <t>Standing seam</t>
  </si>
  <si>
    <t>29g Ridge</t>
  </si>
  <si>
    <t>29g Hip</t>
  </si>
  <si>
    <t>29g eave</t>
  </si>
  <si>
    <t>29g rake</t>
  </si>
  <si>
    <t>29g valley</t>
  </si>
  <si>
    <t>Colored Screws</t>
  </si>
  <si>
    <t>Butyl Tape</t>
  </si>
  <si>
    <t>Metal Delivery</t>
  </si>
  <si>
    <t>Rib Panel Labor</t>
  </si>
  <si>
    <t>Stading Seam Labor</t>
  </si>
  <si>
    <t>Project Cost</t>
  </si>
  <si>
    <t>Inspection Items Cost</t>
  </si>
  <si>
    <t>Gutter Cost</t>
  </si>
  <si>
    <t>Total Cost</t>
  </si>
  <si>
    <t>With Margin</t>
  </si>
  <si>
    <t>Price per square</t>
  </si>
  <si>
    <t>Poly Shinlge</t>
  </si>
  <si>
    <t>Classic</t>
  </si>
  <si>
    <t>Catalog</t>
  </si>
  <si>
    <t>Measurment</t>
  </si>
  <si>
    <t>Coverage</t>
  </si>
  <si>
    <t>Unit Cost</t>
  </si>
  <si>
    <t>Unit</t>
  </si>
  <si>
    <t>Adjusted</t>
  </si>
  <si>
    <t>Tax (%)</t>
  </si>
  <si>
    <t>GAF HDZ</t>
  </si>
  <si>
    <t>Roof Squares</t>
  </si>
  <si>
    <t>bundle</t>
  </si>
  <si>
    <t>GAF HDZ Hip and Ridge</t>
  </si>
  <si>
    <t>Ridges + Hip Length</t>
  </si>
  <si>
    <t>Bundle</t>
  </si>
  <si>
    <t>GAF Starter</t>
  </si>
  <si>
    <t>Eave + Rake Length</t>
  </si>
  <si>
    <t>Atlas Pinnacle Pristine</t>
  </si>
  <si>
    <t>10%</t>
  </si>
  <si>
    <t>Atlas Starter</t>
  </si>
  <si>
    <t>Atlas Impact</t>
  </si>
  <si>
    <t>Atlas Impact Hip and Ridge</t>
  </si>
  <si>
    <t>box</t>
  </si>
  <si>
    <t>piece</t>
  </si>
  <si>
    <t>Ridge Length</t>
  </si>
  <si>
    <t>ft</t>
  </si>
  <si>
    <t>per job</t>
  </si>
  <si>
    <t>10x10 panel</t>
  </si>
  <si>
    <t>Standing Seam 26g</t>
  </si>
  <si>
    <t>Hip Length</t>
  </si>
  <si>
    <t>29g Eave</t>
  </si>
  <si>
    <t>Eave Length</t>
  </si>
  <si>
    <t>29g Rake</t>
  </si>
  <si>
    <t>Rake Length</t>
  </si>
  <si>
    <t>29g Valley</t>
  </si>
  <si>
    <t>Valley Length</t>
  </si>
  <si>
    <t>Install Process</t>
  </si>
  <si>
    <t>roll</t>
  </si>
  <si>
    <t>Capnails</t>
  </si>
  <si>
    <t>can</t>
  </si>
  <si>
    <t>tube</t>
  </si>
  <si>
    <t>per boot</t>
  </si>
  <si>
    <t>unit</t>
  </si>
  <si>
    <t>per vent</t>
  </si>
  <si>
    <t>Chimney</t>
  </si>
  <si>
    <t>per chimney</t>
  </si>
  <si>
    <t>Skylight</t>
  </si>
  <si>
    <t>per skylight</t>
  </si>
  <si>
    <t>Decking (Sheets)</t>
  </si>
  <si>
    <t>per sheet</t>
  </si>
  <si>
    <t>Structural Framing</t>
  </si>
  <si>
    <t>per foot</t>
  </si>
  <si>
    <t>Wall Flashing</t>
  </si>
  <si>
    <t>Fascia</t>
  </si>
  <si>
    <t>Soffit</t>
  </si>
  <si>
    <t>Smart Vents</t>
  </si>
  <si>
    <t>Gutters</t>
  </si>
  <si>
    <t>6in Gutter</t>
  </si>
  <si>
    <t>6in Gutter Guards</t>
  </si>
  <si>
    <t xml:space="preserve">per foot </t>
  </si>
  <si>
    <t>Downspouts</t>
  </si>
  <si>
    <t>per downspout</t>
  </si>
  <si>
    <t>Labor</t>
  </si>
  <si>
    <t>square</t>
  </si>
  <si>
    <t>Standing Seam</t>
  </si>
  <si>
    <t>Extra Layers Labor</t>
  </si>
  <si>
    <t>Decking</t>
  </si>
  <si>
    <t>fascia</t>
  </si>
  <si>
    <t>soffit</t>
  </si>
  <si>
    <t>non-walkable + second story</t>
  </si>
  <si>
    <t>per non-walk square</t>
  </si>
  <si>
    <t>per flat square</t>
  </si>
  <si>
    <t>Misc</t>
  </si>
  <si>
    <t>Project Management</t>
  </si>
  <si>
    <t>Report Fee</t>
  </si>
  <si>
    <t>Material</t>
  </si>
  <si>
    <t>Extra Layers</t>
  </si>
  <si>
    <t>6in Gutters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</si>
</sst>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"/>
    <numFmt numFmtId="166" formatCode="&quot;$&quot;#,##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76A5A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horizontal="right" readingOrder="0" vertical="bottom"/>
    </xf>
    <xf borderId="0" fillId="4" fontId="2" numFmtId="164" xfId="0" applyAlignment="1" applyFill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2" fontId="1" numFmtId="0" xfId="0" applyFont="1"/>
    <xf borderId="0" fillId="2" fontId="2" numFmtId="0" xfId="0" applyFont="1"/>
    <xf borderId="0" fillId="3" fontId="1" numFmtId="0" xfId="0" applyAlignment="1" applyFont="1">
      <alignment horizontal="right" readingOrder="0" vertical="bottom"/>
    </xf>
    <xf borderId="0" fillId="5" fontId="2" numFmtId="165" xfId="0" applyAlignment="1" applyFill="1" applyFont="1" applyNumberFormat="1">
      <alignment horizontal="center" vertical="bottom"/>
    </xf>
    <xf borderId="0" fillId="4" fontId="2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3" fontId="2" numFmtId="9" xfId="0" applyAlignment="1" applyFont="1" applyNumberFormat="1">
      <alignment horizontal="right" vertical="bottom"/>
    </xf>
    <xf borderId="0" fillId="3" fontId="2" numFmtId="10" xfId="0" applyAlignment="1" applyFont="1" applyNumberFormat="1">
      <alignment horizontal="right" readingOrder="0" vertical="bottom"/>
    </xf>
    <xf borderId="0" fillId="2" fontId="1" numFmtId="0" xfId="0" applyAlignment="1" applyFont="1">
      <alignment horizontal="right"/>
    </xf>
    <xf borderId="0" fillId="4" fontId="1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4" fontId="2" numFmtId="9" xfId="0" applyAlignment="1" applyFont="1" applyNumberFormat="1">
      <alignment horizontal="right" readingOrder="0" vertical="bottom"/>
    </xf>
    <xf borderId="0" fillId="6" fontId="2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vertical="bottom"/>
    </xf>
    <xf borderId="0" fillId="7" fontId="2" numFmtId="164" xfId="0" applyAlignment="1" applyFont="1" applyNumberFormat="1">
      <alignment horizontal="right" vertical="bottom"/>
    </xf>
    <xf borderId="0" fillId="4" fontId="2" numFmtId="164" xfId="0" applyAlignment="1" applyFont="1" applyNumberFormat="1">
      <alignment vertical="bottom"/>
    </xf>
    <xf borderId="0" fillId="8" fontId="2" numFmtId="164" xfId="0" applyAlignment="1" applyFill="1" applyFont="1" applyNumberFormat="1">
      <alignment vertical="bottom"/>
    </xf>
    <xf borderId="0" fillId="9" fontId="2" numFmtId="0" xfId="0" applyAlignment="1" applyFill="1" applyFont="1">
      <alignment vertical="bottom"/>
    </xf>
    <xf borderId="0" fillId="9" fontId="2" numFmtId="164" xfId="0" applyAlignment="1" applyFont="1" applyNumberFormat="1">
      <alignment horizontal="right" vertical="bottom"/>
    </xf>
    <xf borderId="0" fillId="0" fontId="2" numFmtId="0" xfId="0" applyFont="1"/>
    <xf borderId="0" fillId="0" fontId="5" numFmtId="0" xfId="0" applyFont="1"/>
    <xf borderId="0" fillId="2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  <xf borderId="0" fillId="10" fontId="2" numFmtId="0" xfId="0" applyFont="1"/>
    <xf borderId="0" fillId="9" fontId="2" numFmtId="0" xfId="0" applyFont="1"/>
    <xf borderId="0" fillId="11" fontId="2" numFmtId="0" xfId="0" applyAlignment="1" applyFill="1" applyFont="1">
      <alignment horizontal="right" vertical="bottom"/>
    </xf>
    <xf borderId="0" fillId="11" fontId="2" numFmtId="0" xfId="0" applyAlignment="1" applyFont="1">
      <alignment vertical="bottom"/>
    </xf>
    <xf borderId="0" fillId="11" fontId="2" numFmtId="0" xfId="0" applyAlignment="1" applyFont="1">
      <alignment horizontal="right"/>
    </xf>
    <xf borderId="0" fillId="10" fontId="2" numFmtId="164" xfId="0" applyFont="1" applyNumberFormat="1"/>
    <xf borderId="0" fillId="11" fontId="2" numFmtId="165" xfId="0" applyAlignment="1" applyFont="1" applyNumberFormat="1">
      <alignment horizontal="right" vertical="bottom"/>
    </xf>
    <xf borderId="0" fillId="11" fontId="2" numFmtId="9" xfId="0" applyAlignment="1" applyFont="1" applyNumberFormat="1">
      <alignment horizontal="right" vertical="bottom"/>
    </xf>
    <xf borderId="0" fillId="12" fontId="2" numFmtId="0" xfId="0" applyFill="1" applyFont="1"/>
    <xf borderId="0" fillId="11" fontId="2" numFmtId="165" xfId="0" applyFont="1" applyNumberFormat="1"/>
    <xf borderId="0" fillId="11" fontId="2" numFmtId="164" xfId="0" applyFont="1" applyNumberFormat="1"/>
    <xf borderId="0" fillId="9" fontId="2" numFmtId="164" xfId="0" applyFont="1" applyNumberFormat="1"/>
    <xf borderId="0" fillId="10" fontId="2" numFmtId="164" xfId="0" applyAlignment="1" applyFont="1" applyNumberFormat="1">
      <alignment horizontal="left"/>
    </xf>
    <xf borderId="0" fillId="10" fontId="1" numFmtId="0" xfId="0" applyFont="1"/>
    <xf borderId="0" fillId="0" fontId="2" numFmtId="164" xfId="0" applyAlignment="1" applyFont="1" applyNumberFormat="1">
      <alignment vertical="bottom"/>
    </xf>
    <xf borderId="0" fillId="6" fontId="2" numFmtId="164" xfId="0" applyAlignment="1" applyFont="1" applyNumberFormat="1">
      <alignment vertical="bottom"/>
    </xf>
    <xf borderId="0" fillId="9" fontId="2" numFmtId="164" xfId="0" applyAlignment="1" applyFont="1" applyNumberFormat="1">
      <alignment horizontal="left"/>
    </xf>
    <xf borderId="0" fillId="11" fontId="2" numFmtId="164" xfId="0" applyAlignment="1" applyFont="1" applyNumberFormat="1">
      <alignment horizontal="right" vertical="bottom"/>
    </xf>
    <xf borderId="0" fillId="11" fontId="2" numFmtId="0" xfId="0" applyFont="1"/>
    <xf borderId="0" fillId="7" fontId="2" numFmtId="164" xfId="0" applyFont="1" applyNumberFormat="1"/>
    <xf borderId="0" fillId="9" fontId="2" numFmtId="165" xfId="0" applyAlignment="1" applyFont="1" applyNumberFormat="1">
      <alignment horizontal="right" vertical="bottom"/>
    </xf>
    <xf borderId="0" fillId="9" fontId="2" numFmtId="49" xfId="0" applyAlignment="1" applyFont="1" applyNumberFormat="1">
      <alignment horizontal="right" vertical="bottom"/>
    </xf>
    <xf borderId="0" fillId="11" fontId="2" numFmtId="49" xfId="0" applyAlignment="1" applyFont="1" applyNumberFormat="1">
      <alignment horizontal="right" vertical="bottom"/>
    </xf>
    <xf borderId="0" fillId="11" fontId="2" numFmtId="9" xfId="0" applyFont="1" applyNumberFormat="1"/>
    <xf borderId="0" fillId="11" fontId="2" numFmtId="164" xfId="0" applyAlignment="1" applyFont="1" applyNumberFormat="1">
      <alignment horizontal="left"/>
    </xf>
    <xf borderId="0" fillId="9" fontId="2" numFmtId="0" xfId="0" applyAlignment="1" applyFont="1">
      <alignment horizontal="left"/>
    </xf>
    <xf borderId="0" fillId="11" fontId="2" numFmtId="0" xfId="0" applyAlignment="1" applyFont="1">
      <alignment horizontal="left"/>
    </xf>
    <xf borderId="0" fillId="9" fontId="1" numFmtId="0" xfId="0" applyFont="1"/>
    <xf borderId="0" fillId="6" fontId="2" numFmtId="165" xfId="0" applyAlignment="1" applyFont="1" applyNumberFormat="1">
      <alignment horizontal="right" vertical="bottom"/>
    </xf>
    <xf borderId="0" fillId="7" fontId="2" numFmtId="164" xfId="0" applyAlignment="1" applyFont="1" applyNumberFormat="1">
      <alignment readingOrder="0"/>
    </xf>
    <xf borderId="0" fillId="9" fontId="2" numFmtId="0" xfId="0" applyAlignment="1" applyFont="1">
      <alignment horizontal="right"/>
    </xf>
    <xf borderId="0" fillId="9" fontId="2" numFmtId="9" xfId="0" applyFont="1" applyNumberFormat="1"/>
    <xf borderId="0" fillId="9" fontId="2" numFmtId="166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5" width="12.63"/>
    <col customWidth="1" min="6" max="6" width="13.88"/>
    <col customWidth="1" min="7" max="7" width="12.63"/>
    <col customWidth="1" min="8" max="8" width="13.0"/>
    <col customWidth="1" min="9" max="9" width="19.25"/>
    <col customWidth="1" min="10" max="10" width="13.88"/>
  </cols>
  <sheetData>
    <row r="1" ht="15.75" customHeight="1">
      <c r="A1" s="1"/>
      <c r="B1" s="1" t="s">
        <v>0</v>
      </c>
      <c r="C1" s="1"/>
      <c r="D1" s="1"/>
      <c r="E1" s="1"/>
      <c r="F1" s="2"/>
      <c r="G1" s="2"/>
      <c r="I1" s="1" t="s">
        <v>1</v>
      </c>
      <c r="J1" s="1" t="s">
        <v>0</v>
      </c>
      <c r="K1" s="1" t="s">
        <v>2</v>
      </c>
      <c r="L1" s="1"/>
    </row>
    <row r="2" ht="15.75" customHeight="1">
      <c r="A2" s="2" t="s">
        <v>3</v>
      </c>
      <c r="B2" s="3">
        <v>58.0</v>
      </c>
      <c r="C2" s="3"/>
      <c r="D2" s="3"/>
      <c r="E2" s="3"/>
      <c r="F2" s="2"/>
      <c r="G2" s="2"/>
      <c r="I2" s="2" t="s">
        <v>4</v>
      </c>
      <c r="J2" s="3">
        <v>1.0</v>
      </c>
      <c r="K2" s="4">
        <f>+Backend!D159/(1-B19)</f>
        <v>786.440678</v>
      </c>
      <c r="L2" s="5"/>
    </row>
    <row r="3" ht="15.75" customHeight="1">
      <c r="A3" s="2" t="s">
        <v>5</v>
      </c>
      <c r="B3" s="3">
        <v>0.0</v>
      </c>
      <c r="C3" s="3"/>
      <c r="D3" s="6"/>
      <c r="E3" s="6"/>
      <c r="F3" s="7"/>
      <c r="G3" s="2"/>
      <c r="I3" s="8" t="s">
        <v>6</v>
      </c>
      <c r="J3" s="3">
        <v>2.0</v>
      </c>
      <c r="K3" s="4">
        <f>+Backend!D160/(1-B19)</f>
        <v>52.20338983</v>
      </c>
      <c r="L3" s="5"/>
    </row>
    <row r="4" ht="15.75" customHeight="1">
      <c r="A4" s="2" t="s">
        <v>7</v>
      </c>
      <c r="B4" s="3">
        <v>0.0</v>
      </c>
      <c r="C4" s="3"/>
      <c r="D4" s="3"/>
      <c r="E4" s="3"/>
      <c r="F4" s="7" t="s">
        <v>8</v>
      </c>
      <c r="G4" s="2"/>
      <c r="I4" s="8" t="s">
        <v>9</v>
      </c>
      <c r="J4" s="9">
        <v>2.0</v>
      </c>
      <c r="K4" s="4">
        <f>+Backend!D162/(1-B19)</f>
        <v>130.5084746</v>
      </c>
      <c r="L4" s="5"/>
    </row>
    <row r="5" ht="15.75" customHeight="1">
      <c r="A5" s="2" t="s">
        <v>10</v>
      </c>
      <c r="B5" s="3">
        <v>0.0</v>
      </c>
      <c r="C5" s="3"/>
      <c r="D5" s="3"/>
      <c r="E5" s="3"/>
      <c r="F5" s="10">
        <f t="shared" ref="F5:F6" si="1">B5/75</f>
        <v>0</v>
      </c>
      <c r="G5" s="8"/>
      <c r="I5" s="8" t="s">
        <v>11</v>
      </c>
      <c r="J5" s="3">
        <v>0.0</v>
      </c>
      <c r="K5" s="4">
        <f>+Backend!D161/(1-B19)</f>
        <v>0</v>
      </c>
      <c r="L5" s="5"/>
    </row>
    <row r="6" ht="15.75" customHeight="1">
      <c r="A6" s="2" t="s">
        <v>12</v>
      </c>
      <c r="B6" s="3">
        <v>0.0</v>
      </c>
      <c r="C6" s="3"/>
      <c r="D6" s="3"/>
      <c r="E6" s="3"/>
      <c r="F6" s="10">
        <f t="shared" si="1"/>
        <v>0</v>
      </c>
      <c r="G6" s="2"/>
      <c r="I6" s="2" t="s">
        <v>13</v>
      </c>
      <c r="J6" s="3">
        <v>10.0</v>
      </c>
      <c r="K6" s="4">
        <f>Backend!D165/(1-B19)</f>
        <v>906.779661</v>
      </c>
      <c r="L6" s="5"/>
    </row>
    <row r="7" ht="15.75" customHeight="1">
      <c r="A7" s="2" t="s">
        <v>14</v>
      </c>
      <c r="B7" s="3">
        <v>0.0</v>
      </c>
      <c r="C7" s="3"/>
      <c r="D7" s="3"/>
      <c r="E7" s="3"/>
      <c r="F7" s="2"/>
      <c r="G7" s="2"/>
      <c r="I7" s="2" t="s">
        <v>15</v>
      </c>
      <c r="J7" s="3">
        <v>0.0</v>
      </c>
      <c r="K7" s="4">
        <f>+Backend!D166/(1-B19)</f>
        <v>0</v>
      </c>
      <c r="L7" s="5"/>
    </row>
    <row r="8" ht="15.75" customHeight="1">
      <c r="A8" s="2" t="s">
        <v>16</v>
      </c>
      <c r="B8" s="3">
        <v>0.0</v>
      </c>
      <c r="C8" s="3"/>
      <c r="D8" s="3"/>
      <c r="E8" s="3"/>
      <c r="F8" s="10">
        <f t="shared" ref="F8:F9" si="2">B8/300</f>
        <v>0</v>
      </c>
      <c r="G8" s="2"/>
      <c r="I8" s="8" t="s">
        <v>17</v>
      </c>
      <c r="J8" s="3">
        <v>35.0</v>
      </c>
      <c r="K8" s="4">
        <f>Backend!D167/(1-B19)</f>
        <v>289.8305085</v>
      </c>
      <c r="L8" s="5"/>
    </row>
    <row r="9" ht="15.75" customHeight="1">
      <c r="A9" s="2" t="s">
        <v>18</v>
      </c>
      <c r="B9" s="3">
        <v>0.0</v>
      </c>
      <c r="C9" s="3"/>
      <c r="D9" s="3"/>
      <c r="E9" s="3"/>
      <c r="F9" s="10">
        <f t="shared" si="2"/>
        <v>0</v>
      </c>
      <c r="G9" s="2"/>
      <c r="I9" s="2" t="s">
        <v>19</v>
      </c>
      <c r="J9" s="3">
        <v>0.0</v>
      </c>
      <c r="K9" s="4">
        <f>+Backend!D163/(1-B19)</f>
        <v>0</v>
      </c>
      <c r="L9" s="5"/>
    </row>
    <row r="10" ht="15.75" customHeight="1">
      <c r="A10" s="2" t="s">
        <v>20</v>
      </c>
      <c r="B10" s="11"/>
      <c r="C10" s="11"/>
      <c r="D10" s="11"/>
      <c r="E10" s="11"/>
      <c r="F10" s="2"/>
      <c r="G10" s="2"/>
      <c r="I10" s="2" t="s">
        <v>21</v>
      </c>
      <c r="J10" s="3">
        <v>0.0</v>
      </c>
      <c r="K10" s="4">
        <f>+Backend!D164/(1-B19)</f>
        <v>0</v>
      </c>
      <c r="L10" s="5"/>
    </row>
    <row r="11" ht="15.75" customHeight="1">
      <c r="A11" s="8"/>
      <c r="B11" s="8"/>
      <c r="C11" s="8"/>
      <c r="D11" s="8"/>
      <c r="E11" s="8"/>
      <c r="F11" s="8"/>
      <c r="G11" s="2"/>
      <c r="I11" s="2" t="s">
        <v>22</v>
      </c>
      <c r="J11" s="3">
        <v>0.0</v>
      </c>
      <c r="K11" s="4">
        <f>+Backend!D168/(1-B19)</f>
        <v>0</v>
      </c>
      <c r="L11" s="5"/>
    </row>
    <row r="12" ht="15.75" customHeight="1">
      <c r="A12" s="1" t="s">
        <v>23</v>
      </c>
      <c r="B12" s="2"/>
      <c r="C12" s="2"/>
      <c r="D12" s="2"/>
      <c r="E12" s="2"/>
      <c r="F12" s="2"/>
      <c r="G12" s="2"/>
      <c r="H12" s="12"/>
      <c r="I12" s="2" t="s">
        <v>24</v>
      </c>
      <c r="J12" s="6">
        <v>0.0</v>
      </c>
      <c r="K12" s="4">
        <f>+Backend!D169/(1-B19)</f>
        <v>0</v>
      </c>
      <c r="L12" s="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2" t="s">
        <v>25</v>
      </c>
      <c r="B13" s="13">
        <v>0.0</v>
      </c>
      <c r="C13" s="13"/>
      <c r="D13" s="13"/>
      <c r="E13" s="13"/>
      <c r="F13" s="2"/>
      <c r="G13" s="2"/>
      <c r="I13" s="2" t="s">
        <v>26</v>
      </c>
      <c r="J13" s="6">
        <v>0.0</v>
      </c>
      <c r="K13" s="4">
        <f>+Backend!D170/(1-B19)</f>
        <v>0</v>
      </c>
      <c r="L13" s="5"/>
    </row>
    <row r="14" ht="15.75" customHeight="1">
      <c r="A14" s="2" t="s">
        <v>27</v>
      </c>
      <c r="B14" s="14">
        <v>0.1299</v>
      </c>
      <c r="C14" s="14"/>
      <c r="D14" s="14"/>
      <c r="E14" s="14"/>
      <c r="F14" s="2"/>
      <c r="G14" s="2"/>
      <c r="I14" s="8" t="s">
        <v>28</v>
      </c>
      <c r="J14" s="15" t="s">
        <v>29</v>
      </c>
      <c r="K14" s="16">
        <f>SUM(K2:K13)</f>
        <v>2165.762712</v>
      </c>
      <c r="L14" s="5"/>
    </row>
    <row r="15" ht="15.75" customHeight="1">
      <c r="A15" s="2" t="s">
        <v>30</v>
      </c>
      <c r="B15" s="3">
        <v>180.0</v>
      </c>
      <c r="C15" s="3"/>
      <c r="D15" s="3"/>
      <c r="E15" s="3"/>
      <c r="F15" s="2"/>
      <c r="G15" s="2"/>
      <c r="I15" s="2" t="s">
        <v>31</v>
      </c>
      <c r="J15" s="3">
        <v>0.0</v>
      </c>
      <c r="K15" s="4">
        <f>+Backend!D174/(1-B19)</f>
        <v>0</v>
      </c>
      <c r="L15" s="5"/>
    </row>
    <row r="16" ht="15.75" customHeight="1">
      <c r="A16" s="2" t="s">
        <v>32</v>
      </c>
      <c r="B16" s="17">
        <v>0.0</v>
      </c>
      <c r="C16" s="17"/>
      <c r="D16" s="17"/>
      <c r="E16" s="17"/>
      <c r="F16" s="2"/>
      <c r="G16" s="2"/>
      <c r="I16" s="2" t="s">
        <v>33</v>
      </c>
      <c r="J16" s="6">
        <v>0.0</v>
      </c>
      <c r="K16" s="4">
        <f>+Backend!D176/(1-B19)</f>
        <v>0</v>
      </c>
      <c r="L16" s="5"/>
    </row>
    <row r="17" ht="15.75" customHeight="1">
      <c r="A17" s="2"/>
      <c r="B17" s="2"/>
      <c r="C17" s="2"/>
      <c r="D17" s="2"/>
      <c r="E17" s="2"/>
      <c r="F17" s="2"/>
      <c r="G17" s="2"/>
      <c r="I17" s="2" t="s">
        <v>34</v>
      </c>
      <c r="J17" s="6">
        <v>0.0</v>
      </c>
      <c r="K17" s="4">
        <f>+Backend!D175/(1-B19)</f>
        <v>0</v>
      </c>
      <c r="L17" s="5"/>
    </row>
    <row r="18" ht="15.75" customHeight="1">
      <c r="A18" s="1" t="s">
        <v>35</v>
      </c>
      <c r="B18" s="2"/>
      <c r="C18" s="2"/>
      <c r="D18" s="2"/>
      <c r="E18" s="2"/>
      <c r="F18" s="2"/>
      <c r="G18" s="2"/>
      <c r="I18" s="2"/>
      <c r="J18" s="18" t="s">
        <v>29</v>
      </c>
      <c r="K18" s="16">
        <f>SUM(K15:K17)</f>
        <v>0</v>
      </c>
      <c r="L18" s="5"/>
    </row>
    <row r="19" ht="15.75" customHeight="1">
      <c r="A19" s="2" t="s">
        <v>36</v>
      </c>
      <c r="B19" s="19">
        <v>0.41</v>
      </c>
      <c r="C19" s="19"/>
      <c r="D19" s="19"/>
      <c r="E19" s="19"/>
      <c r="F19" s="2"/>
      <c r="G19" s="2"/>
      <c r="I19" s="8"/>
      <c r="J19" s="8"/>
      <c r="K19" s="8"/>
      <c r="L19" s="5"/>
    </row>
    <row r="20" ht="15.75" customHeight="1">
      <c r="A20" s="2"/>
      <c r="B20" s="2"/>
      <c r="C20" s="2"/>
      <c r="D20" s="2"/>
      <c r="E20" s="2"/>
      <c r="F20" s="2"/>
      <c r="G20" s="2"/>
      <c r="I20" s="2"/>
      <c r="J20" s="2"/>
      <c r="K20" s="2"/>
      <c r="L20" s="2"/>
    </row>
    <row r="21" ht="15.75" customHeight="1">
      <c r="A21" s="20"/>
      <c r="B21" s="20"/>
      <c r="C21" s="20"/>
      <c r="D21" s="20"/>
      <c r="E21" s="20"/>
      <c r="F21" s="20"/>
      <c r="G21" s="20"/>
      <c r="H21" s="20" t="s">
        <v>37</v>
      </c>
      <c r="I21" s="20"/>
      <c r="J21" s="20"/>
      <c r="K21" s="20"/>
      <c r="L21" s="20"/>
    </row>
    <row r="22" ht="15.75" customHeight="1">
      <c r="A22" s="2"/>
      <c r="B22" s="21" t="s">
        <v>38</v>
      </c>
      <c r="C22" s="21"/>
      <c r="D22" s="21"/>
      <c r="E22" s="21"/>
      <c r="F22" s="2"/>
      <c r="G22" s="8"/>
      <c r="I22" s="2"/>
      <c r="J22" s="21" t="s">
        <v>39</v>
      </c>
      <c r="K22" s="2"/>
      <c r="L22" s="8"/>
    </row>
    <row r="23" ht="15.75" customHeight="1">
      <c r="A23" s="22" t="s">
        <v>40</v>
      </c>
      <c r="B23" s="2" t="s">
        <v>41</v>
      </c>
      <c r="C23" s="2"/>
      <c r="D23" s="2"/>
      <c r="E23" s="2"/>
      <c r="F23" s="2" t="s">
        <v>42</v>
      </c>
      <c r="G23" s="2" t="s">
        <v>43</v>
      </c>
      <c r="I23" s="22" t="s">
        <v>44</v>
      </c>
      <c r="J23" s="2" t="s">
        <v>41</v>
      </c>
      <c r="K23" s="2" t="s">
        <v>42</v>
      </c>
      <c r="L23" s="2" t="s">
        <v>43</v>
      </c>
    </row>
    <row r="24" ht="15.75" customHeight="1">
      <c r="A24" s="23" t="s">
        <v>45</v>
      </c>
      <c r="B24" s="24">
        <f>+Backend!F59</f>
        <v>26645.50847</v>
      </c>
      <c r="C24" s="24"/>
      <c r="D24" s="24"/>
      <c r="E24" s="24"/>
      <c r="F24" s="25">
        <f>(B24*(1+B13))-B16</f>
        <v>26645.50847</v>
      </c>
      <c r="G24" s="26">
        <f>PMT(B14/12,B15,F24)*-1</f>
        <v>336.9549012</v>
      </c>
      <c r="I24" s="23" t="s">
        <v>45</v>
      </c>
      <c r="J24" s="24">
        <f>+Backend!F62</f>
        <v>40584.0678</v>
      </c>
      <c r="K24" s="25">
        <f>(J24*(1+B13))-B16</f>
        <v>40584.0678</v>
      </c>
      <c r="L24" s="26">
        <f>PMT(B14/12,B15,K24)*-1</f>
        <v>513.2197258</v>
      </c>
    </row>
    <row r="25" ht="15.75" customHeight="1">
      <c r="A25" s="23" t="s">
        <v>46</v>
      </c>
      <c r="B25" s="24">
        <f>B24+1000</f>
        <v>27645.50847</v>
      </c>
      <c r="C25" s="24"/>
      <c r="D25" s="24"/>
      <c r="E25" s="24"/>
      <c r="F25" s="25">
        <f>(B25*(1+B13))-B16</f>
        <v>27645.50847</v>
      </c>
      <c r="G25" s="26">
        <f>PMT(B14/12,B15,F25)*-1</f>
        <v>349.6007436</v>
      </c>
      <c r="I25" s="23" t="s">
        <v>46</v>
      </c>
      <c r="J25" s="24">
        <f>J24+1000</f>
        <v>41584.0678</v>
      </c>
      <c r="K25" s="25">
        <f>(J25*(1+B13))-B16</f>
        <v>41584.0678</v>
      </c>
      <c r="L25" s="26">
        <f>PMT(B14/12,B15,K25)*-1</f>
        <v>525.8655682</v>
      </c>
    </row>
    <row r="26" ht="15.75" customHeight="1">
      <c r="A26" s="23" t="s">
        <v>47</v>
      </c>
      <c r="B26" s="24">
        <f>B25*1.2</f>
        <v>33174.61017</v>
      </c>
      <c r="C26" s="24"/>
      <c r="D26" s="24"/>
      <c r="E26" s="24"/>
      <c r="F26" s="4">
        <f>(B26*(1+B13))-B16</f>
        <v>33174.61017</v>
      </c>
      <c r="G26" s="26">
        <f>PMT(B14/12,B15,F26)*-1</f>
        <v>419.5208923</v>
      </c>
      <c r="I26" s="23" t="s">
        <v>47</v>
      </c>
      <c r="J26" s="24">
        <f>J25*1.2</f>
        <v>49900.88136</v>
      </c>
      <c r="K26" s="4">
        <f>(J26*(1+B13))-B16</f>
        <v>49900.88136</v>
      </c>
      <c r="L26" s="26">
        <f>PMT(B14/12,B15,K26)*-1</f>
        <v>631.0386819</v>
      </c>
    </row>
    <row r="27" ht="15.75" customHeight="1">
      <c r="A27" s="27"/>
      <c r="B27" s="28"/>
      <c r="C27" s="28"/>
      <c r="D27" s="28"/>
      <c r="E27" s="28"/>
      <c r="F27" s="27"/>
      <c r="G27" s="20"/>
      <c r="I27" s="27"/>
      <c r="J27" s="27"/>
      <c r="K27" s="27"/>
      <c r="L27" s="27"/>
    </row>
    <row r="28" ht="15.75" customHeight="1">
      <c r="A28" s="22" t="s">
        <v>48</v>
      </c>
      <c r="B28" s="2" t="s">
        <v>41</v>
      </c>
      <c r="C28" s="2"/>
      <c r="D28" s="2"/>
      <c r="E28" s="2"/>
      <c r="F28" s="2" t="s">
        <v>42</v>
      </c>
      <c r="G28" s="2" t="s">
        <v>43</v>
      </c>
      <c r="I28" s="22" t="s">
        <v>49</v>
      </c>
      <c r="J28" s="2" t="s">
        <v>41</v>
      </c>
      <c r="K28" s="2" t="s">
        <v>42</v>
      </c>
      <c r="L28" s="2" t="s">
        <v>43</v>
      </c>
    </row>
    <row r="29" ht="15.75" customHeight="1">
      <c r="A29" s="23" t="s">
        <v>45</v>
      </c>
      <c r="B29" s="24">
        <f>+Backend!F60</f>
        <v>26645.50847</v>
      </c>
      <c r="C29" s="24"/>
      <c r="D29" s="24"/>
      <c r="E29" s="24"/>
      <c r="F29" s="25">
        <f>(B29*(1+B13))-B16</f>
        <v>26645.50847</v>
      </c>
      <c r="G29" s="26">
        <f>PMT(B14/12,B15,F29)*-1</f>
        <v>336.9549012</v>
      </c>
      <c r="I29" s="23" t="s">
        <v>45</v>
      </c>
      <c r="J29" s="24">
        <f>+Backend!F63</f>
        <v>48694.23729</v>
      </c>
      <c r="K29" s="25">
        <f>(J29*(1+B13))-B16</f>
        <v>48694.23729</v>
      </c>
      <c r="L29" s="26">
        <f>PMT(B14/12,B15,K29)*-1</f>
        <v>615.7796512</v>
      </c>
    </row>
    <row r="30" ht="15.75" customHeight="1">
      <c r="A30" s="23" t="s">
        <v>46</v>
      </c>
      <c r="B30" s="24">
        <f>B29+1000</f>
        <v>27645.50847</v>
      </c>
      <c r="C30" s="24"/>
      <c r="D30" s="24"/>
      <c r="E30" s="24"/>
      <c r="F30" s="25">
        <f>(B30*(1+B13))-B16</f>
        <v>27645.50847</v>
      </c>
      <c r="G30" s="26">
        <f>PMT(B14/12,B15,F30)*-1</f>
        <v>349.6007436</v>
      </c>
      <c r="I30" s="23" t="s">
        <v>46</v>
      </c>
      <c r="J30" s="24">
        <f>J29+1000</f>
        <v>49694.23729</v>
      </c>
      <c r="K30" s="25">
        <f>(J30*(1+B13))-B16</f>
        <v>49694.23729</v>
      </c>
      <c r="L30" s="26">
        <f>PMT(B14/12,B15,K30)*-1</f>
        <v>628.4254936</v>
      </c>
    </row>
    <row r="31" ht="15.75" customHeight="1">
      <c r="A31" s="23" t="s">
        <v>47</v>
      </c>
      <c r="B31" s="24">
        <f>B30*1.2</f>
        <v>33174.61017</v>
      </c>
      <c r="C31" s="24"/>
      <c r="D31" s="24"/>
      <c r="E31" s="24"/>
      <c r="F31" s="4">
        <f>(B31*(1+B13))-B16</f>
        <v>33174.61017</v>
      </c>
      <c r="G31" s="26">
        <f>PMT(B14/12,B15,F31)*-1</f>
        <v>419.5208923</v>
      </c>
      <c r="I31" s="23" t="s">
        <v>47</v>
      </c>
      <c r="J31" s="24">
        <f>J30*1.2</f>
        <v>59633.08475</v>
      </c>
      <c r="K31" s="4">
        <f>(J31*(1+B13))-B16</f>
        <v>59633.08475</v>
      </c>
      <c r="L31" s="26">
        <f>PMT(B14/12,B15,K31)*-1</f>
        <v>754.1105923</v>
      </c>
    </row>
    <row r="32" ht="15.75" customHeight="1">
      <c r="I32" s="20"/>
      <c r="J32" s="20"/>
      <c r="K32" s="20"/>
      <c r="L32" s="20"/>
    </row>
    <row r="33" ht="15.75" customHeight="1">
      <c r="A33" s="22" t="s">
        <v>50</v>
      </c>
      <c r="B33" s="2" t="s">
        <v>41</v>
      </c>
      <c r="C33" s="2"/>
      <c r="D33" s="2"/>
      <c r="E33" s="2"/>
      <c r="F33" s="2" t="s">
        <v>42</v>
      </c>
      <c r="G33" s="2" t="s">
        <v>43</v>
      </c>
      <c r="H33" s="29"/>
      <c r="I33" s="22" t="s">
        <v>51</v>
      </c>
      <c r="J33" s="2" t="s">
        <v>41</v>
      </c>
      <c r="K33" s="2" t="s">
        <v>42</v>
      </c>
      <c r="L33" s="2" t="s">
        <v>43</v>
      </c>
    </row>
    <row r="34" ht="15.75" customHeight="1">
      <c r="A34" s="23" t="s">
        <v>45</v>
      </c>
      <c r="B34" s="24">
        <f>+Backend!F61</f>
        <v>31702.71186</v>
      </c>
      <c r="C34" s="24"/>
      <c r="D34" s="24"/>
      <c r="E34" s="24"/>
      <c r="F34" s="25">
        <f>(B34*(1+B13))-B16</f>
        <v>31702.71186</v>
      </c>
      <c r="G34" s="26">
        <f>PMT(B14/12,B15,F34)*-1</f>
        <v>400.9074983</v>
      </c>
      <c r="I34" s="23" t="s">
        <v>45</v>
      </c>
      <c r="J34" s="24">
        <f>+Backend!F64</f>
        <v>50906.10169</v>
      </c>
      <c r="K34" s="25">
        <f>(J34*(1+B13))-B16</f>
        <v>50906.10169</v>
      </c>
      <c r="L34" s="26">
        <f>PMT(B14/12,B15,K34)*-1</f>
        <v>643.7505399</v>
      </c>
    </row>
    <row r="35" ht="15.75" customHeight="1">
      <c r="A35" s="23" t="s">
        <v>46</v>
      </c>
      <c r="B35" s="24">
        <f>B34+1000</f>
        <v>32702.71186</v>
      </c>
      <c r="C35" s="24"/>
      <c r="D35" s="24"/>
      <c r="E35" s="24"/>
      <c r="F35" s="25">
        <f>(B35*(1+B13))-B16</f>
        <v>32702.71186</v>
      </c>
      <c r="G35" s="26">
        <f>PMT(B14/12,B15,F35)*-1</f>
        <v>413.5533407</v>
      </c>
      <c r="I35" s="23" t="s">
        <v>46</v>
      </c>
      <c r="J35" s="24">
        <f>J34+1000</f>
        <v>51906.10169</v>
      </c>
      <c r="K35" s="25">
        <f>(J35*(1+B13))-B16</f>
        <v>51906.10169</v>
      </c>
      <c r="L35" s="26">
        <f>PMT(B14/12,B15,K35)*-1</f>
        <v>656.3963823</v>
      </c>
    </row>
    <row r="36" ht="15.75" customHeight="1">
      <c r="A36" s="23" t="s">
        <v>47</v>
      </c>
      <c r="B36" s="24">
        <f>B35*1.2</f>
        <v>39243.25424</v>
      </c>
      <c r="C36" s="24"/>
      <c r="D36" s="24"/>
      <c r="E36" s="24"/>
      <c r="F36" s="4">
        <f>(B36*(1+B13))-B16</f>
        <v>39243.25424</v>
      </c>
      <c r="G36" s="26">
        <f>PMT(B14/12,B15,F36)*-1</f>
        <v>496.2640088</v>
      </c>
      <c r="I36" s="23" t="s">
        <v>47</v>
      </c>
      <c r="J36" s="24">
        <f>J35*1.2</f>
        <v>62287.32203</v>
      </c>
      <c r="K36" s="4">
        <f>(J36*(1+B13))-B16</f>
        <v>62287.32203</v>
      </c>
      <c r="L36" s="26">
        <f>PMT(B14/12,B15,K36)*-1</f>
        <v>787.6756588</v>
      </c>
    </row>
    <row r="37" ht="15.75" customHeight="1">
      <c r="B37" s="30"/>
      <c r="C37" s="30"/>
      <c r="L37" s="20"/>
    </row>
    <row r="38" ht="15.75" customHeight="1"/>
    <row r="39" ht="15.75" customHeight="1">
      <c r="A39" s="1" t="s">
        <v>52</v>
      </c>
      <c r="B39" s="2"/>
      <c r="C39" s="2"/>
      <c r="D39" s="2"/>
      <c r="E39" s="2"/>
      <c r="F39" s="2"/>
      <c r="G39" s="2"/>
    </row>
    <row r="40" ht="15.75" customHeight="1">
      <c r="A40" s="31" t="s">
        <v>53</v>
      </c>
      <c r="B40" s="32"/>
      <c r="C40" s="32"/>
      <c r="D40" s="32"/>
      <c r="E40" s="32"/>
      <c r="F40" s="32"/>
      <c r="G40" s="32"/>
      <c r="H40" s="20"/>
      <c r="K40" s="29"/>
    </row>
    <row r="41" ht="15.75" customHeight="1">
      <c r="A41" s="33" t="s">
        <v>54</v>
      </c>
      <c r="B41" s="32"/>
      <c r="C41" s="32"/>
      <c r="D41" s="32"/>
      <c r="E41" s="32"/>
      <c r="F41" s="32"/>
      <c r="G41" s="32"/>
      <c r="H41" s="20"/>
    </row>
    <row r="42" ht="15.75" customHeight="1">
      <c r="A42" s="2" t="s">
        <v>55</v>
      </c>
      <c r="B42" s="32"/>
      <c r="C42" s="32"/>
      <c r="D42" s="32"/>
      <c r="E42" s="32"/>
      <c r="F42" s="32"/>
      <c r="G42" s="32"/>
      <c r="H42" s="20"/>
    </row>
    <row r="43" ht="15.75" customHeight="1">
      <c r="A43" s="2" t="s">
        <v>56</v>
      </c>
      <c r="B43" s="32"/>
      <c r="C43" s="32"/>
      <c r="D43" s="32"/>
      <c r="E43" s="32"/>
      <c r="F43" s="32"/>
      <c r="G43" s="32"/>
      <c r="H43" s="20"/>
    </row>
    <row r="44" ht="15.75" customHeight="1">
      <c r="A44" s="2" t="s">
        <v>57</v>
      </c>
      <c r="B44" s="32"/>
      <c r="C44" s="32"/>
      <c r="D44" s="32"/>
      <c r="E44" s="32"/>
      <c r="F44" s="32"/>
      <c r="G44" s="32"/>
      <c r="H44" s="20"/>
      <c r="I44" s="29"/>
    </row>
    <row r="45" ht="15.75" customHeight="1">
      <c r="A45" s="2" t="s">
        <v>58</v>
      </c>
      <c r="B45" s="32"/>
      <c r="C45" s="32"/>
      <c r="D45" s="32"/>
      <c r="E45" s="32"/>
      <c r="F45" s="32"/>
      <c r="G45" s="32"/>
      <c r="H45" s="20"/>
      <c r="I45" s="20"/>
      <c r="J45" s="20"/>
      <c r="K45" s="20"/>
      <c r="L45" s="20"/>
    </row>
    <row r="46" ht="15.75" customHeight="1">
      <c r="A46" s="27"/>
      <c r="B46" s="28"/>
      <c r="C46" s="28"/>
      <c r="D46" s="28"/>
      <c r="E46" s="28"/>
      <c r="F46" s="28"/>
      <c r="G46" s="20"/>
      <c r="H46" s="20"/>
      <c r="I46" s="20"/>
      <c r="J46" s="20"/>
      <c r="K46" s="20"/>
      <c r="L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2.63"/>
    <col customWidth="1" min="3" max="3" width="13.88"/>
    <col customWidth="1" min="4" max="4" width="12.63"/>
    <col customWidth="1" min="5" max="5" width="13.0"/>
    <col customWidth="1" min="6" max="6" width="19.25"/>
    <col customWidth="1" min="7" max="7" width="13.88"/>
  </cols>
  <sheetData>
    <row r="1" ht="15.75" customHeight="1">
      <c r="A1" s="1"/>
      <c r="B1" s="1" t="s">
        <v>0</v>
      </c>
      <c r="C1" s="2"/>
      <c r="D1" s="2"/>
      <c r="F1" s="1" t="s">
        <v>1</v>
      </c>
      <c r="G1" s="1" t="s">
        <v>0</v>
      </c>
      <c r="H1" s="1" t="s">
        <v>2</v>
      </c>
      <c r="I1" s="1"/>
    </row>
    <row r="2" ht="15.75" customHeight="1">
      <c r="A2" s="2" t="s">
        <v>3</v>
      </c>
      <c r="B2" s="3">
        <v>56.0</v>
      </c>
      <c r="C2" s="2"/>
      <c r="D2" s="2"/>
      <c r="F2" s="2" t="s">
        <v>4</v>
      </c>
      <c r="G2" s="3">
        <v>2.0</v>
      </c>
      <c r="H2" s="4">
        <f>+Backend!D159/(1-B19)</f>
        <v>713.8461538</v>
      </c>
      <c r="I2" s="5"/>
    </row>
    <row r="3" ht="15.75" customHeight="1">
      <c r="A3" s="2" t="s">
        <v>5</v>
      </c>
      <c r="B3" s="6">
        <v>0.0</v>
      </c>
      <c r="C3" s="7"/>
      <c r="D3" s="2"/>
      <c r="F3" s="8" t="s">
        <v>6</v>
      </c>
      <c r="G3" s="3">
        <v>3.0</v>
      </c>
      <c r="H3" s="4">
        <f>+Backend!D160/(1-B19)</f>
        <v>47.38461538</v>
      </c>
      <c r="I3" s="5"/>
    </row>
    <row r="4" ht="15.75" customHeight="1">
      <c r="A4" s="2" t="s">
        <v>7</v>
      </c>
      <c r="B4" s="3">
        <v>0.0</v>
      </c>
      <c r="C4" s="7" t="s">
        <v>8</v>
      </c>
      <c r="D4" s="2"/>
      <c r="F4" s="8" t="s">
        <v>9</v>
      </c>
      <c r="G4" s="6">
        <v>2.0</v>
      </c>
      <c r="H4" s="4">
        <f>+Backend!D162/(1-B19)</f>
        <v>118.4615385</v>
      </c>
      <c r="I4" s="5"/>
    </row>
    <row r="5" ht="15.75" customHeight="1">
      <c r="A5" s="2" t="s">
        <v>10</v>
      </c>
      <c r="B5" s="3">
        <v>70.0</v>
      </c>
      <c r="C5" s="10">
        <f t="shared" ref="C5:C6" si="1">B5/75</f>
        <v>0.9333333333</v>
      </c>
      <c r="D5" s="8"/>
      <c r="F5" s="8" t="s">
        <v>11</v>
      </c>
      <c r="G5" s="6">
        <v>1.0</v>
      </c>
      <c r="H5" s="4">
        <f>+Backend!D161/(1-B19)</f>
        <v>0</v>
      </c>
      <c r="I5" s="5"/>
    </row>
    <row r="6" ht="15.75" customHeight="1">
      <c r="A6" s="2" t="s">
        <v>12</v>
      </c>
      <c r="B6" s="3">
        <v>202.0</v>
      </c>
      <c r="C6" s="10">
        <f t="shared" si="1"/>
        <v>2.693333333</v>
      </c>
      <c r="D6" s="2"/>
      <c r="F6" s="2" t="s">
        <v>13</v>
      </c>
      <c r="G6" s="3">
        <v>0.0</v>
      </c>
      <c r="H6" s="4">
        <f>Backend!D165/(1-B19)</f>
        <v>823.0769231</v>
      </c>
      <c r="I6" s="5"/>
    </row>
    <row r="7" ht="15.75" customHeight="1">
      <c r="A7" s="2" t="s">
        <v>14</v>
      </c>
      <c r="B7" s="3">
        <v>106.0</v>
      </c>
      <c r="C7" s="2"/>
      <c r="D7" s="2"/>
      <c r="F7" s="2" t="s">
        <v>15</v>
      </c>
      <c r="G7" s="3">
        <v>0.0</v>
      </c>
      <c r="H7" s="4">
        <f>+Backend!D166/(1-B19)</f>
        <v>0</v>
      </c>
      <c r="I7" s="5"/>
    </row>
    <row r="8" ht="15.75" customHeight="1">
      <c r="A8" s="2" t="s">
        <v>16</v>
      </c>
      <c r="B8" s="3">
        <v>41.0</v>
      </c>
      <c r="C8" s="10">
        <f t="shared" ref="C8:C9" si="2">B8/300</f>
        <v>0.1366666667</v>
      </c>
      <c r="D8" s="2"/>
      <c r="F8" s="8" t="s">
        <v>17</v>
      </c>
      <c r="G8" s="3">
        <v>0.0</v>
      </c>
      <c r="H8" s="4">
        <f>Backend!D167/(1-B19)</f>
        <v>263.0769231</v>
      </c>
      <c r="I8" s="5"/>
    </row>
    <row r="9" ht="15.75" customHeight="1">
      <c r="A9" s="2" t="s">
        <v>18</v>
      </c>
      <c r="B9" s="3">
        <v>274.0</v>
      </c>
      <c r="C9" s="10">
        <f t="shared" si="2"/>
        <v>0.9133333333</v>
      </c>
      <c r="D9" s="2"/>
      <c r="F9" s="2" t="s">
        <v>19</v>
      </c>
      <c r="G9" s="3">
        <v>0.0</v>
      </c>
      <c r="H9" s="4">
        <f>+Backend!D163/(1-B19)</f>
        <v>0</v>
      </c>
      <c r="I9" s="5"/>
    </row>
    <row r="10" ht="15.75" customHeight="1">
      <c r="A10" s="2" t="s">
        <v>20</v>
      </c>
      <c r="B10" s="11">
        <f>B2+SUM(C5:C9)</f>
        <v>60.67666667</v>
      </c>
      <c r="C10" s="2"/>
      <c r="D10" s="2"/>
      <c r="F10" s="2" t="s">
        <v>21</v>
      </c>
      <c r="G10" s="6">
        <v>0.0</v>
      </c>
      <c r="H10" s="4">
        <f>+Backend!D164/(1-B19)</f>
        <v>0</v>
      </c>
      <c r="I10" s="5"/>
    </row>
    <row r="11" ht="15.75" customHeight="1">
      <c r="A11" s="8"/>
      <c r="B11" s="8"/>
      <c r="C11" s="8"/>
      <c r="D11" s="2"/>
      <c r="F11" s="2" t="s">
        <v>22</v>
      </c>
      <c r="G11" s="6">
        <v>0.0</v>
      </c>
      <c r="H11" s="4">
        <f>+Backend!D168/(1-B19)</f>
        <v>0</v>
      </c>
      <c r="I11" s="5"/>
    </row>
    <row r="12" ht="15.75" customHeight="1">
      <c r="A12" s="1" t="s">
        <v>23</v>
      </c>
      <c r="B12" s="2"/>
      <c r="C12" s="2"/>
      <c r="D12" s="2"/>
      <c r="F12" s="2" t="s">
        <v>24</v>
      </c>
      <c r="G12" s="6">
        <v>0.0</v>
      </c>
      <c r="H12" s="4">
        <f>+Backend!D169/(1-B19)</f>
        <v>0</v>
      </c>
      <c r="I12" s="5"/>
    </row>
    <row r="13" ht="15.75" customHeight="1">
      <c r="A13" s="2" t="s">
        <v>25</v>
      </c>
      <c r="B13" s="13">
        <v>0.0</v>
      </c>
      <c r="C13" s="2"/>
      <c r="D13" s="2"/>
      <c r="F13" s="2" t="s">
        <v>26</v>
      </c>
      <c r="G13" s="6">
        <v>0.0</v>
      </c>
      <c r="H13" s="4">
        <f>+Backend!D170/(1-B19)</f>
        <v>0</v>
      </c>
      <c r="I13" s="5"/>
    </row>
    <row r="14" ht="15.75" customHeight="1">
      <c r="A14" s="2" t="s">
        <v>27</v>
      </c>
      <c r="B14" s="14">
        <v>0.1299</v>
      </c>
      <c r="C14" s="2"/>
      <c r="D14" s="2"/>
      <c r="F14" s="8" t="s">
        <v>28</v>
      </c>
      <c r="G14" s="15" t="s">
        <v>29</v>
      </c>
      <c r="H14" s="16">
        <f>SUM(H2:H13)</f>
        <v>1965.846154</v>
      </c>
      <c r="I14" s="5"/>
    </row>
    <row r="15" ht="15.75" customHeight="1">
      <c r="A15" s="2" t="s">
        <v>30</v>
      </c>
      <c r="B15" s="3">
        <v>120.0</v>
      </c>
      <c r="C15" s="2"/>
      <c r="D15" s="2"/>
      <c r="F15" s="2" t="s">
        <v>31</v>
      </c>
      <c r="G15" s="6">
        <v>0.0</v>
      </c>
      <c r="H15" s="4">
        <f>+Backend!D174/(1-B19)</f>
        <v>0</v>
      </c>
      <c r="I15" s="5"/>
    </row>
    <row r="16" ht="15.75" customHeight="1">
      <c r="A16" s="2" t="s">
        <v>32</v>
      </c>
      <c r="B16" s="17">
        <v>0.0</v>
      </c>
      <c r="C16" s="2"/>
      <c r="D16" s="2"/>
      <c r="F16" s="2" t="s">
        <v>33</v>
      </c>
      <c r="G16" s="6">
        <v>0.0</v>
      </c>
      <c r="H16" s="4">
        <f>+Backend!D176/(1-B19)</f>
        <v>0</v>
      </c>
      <c r="I16" s="5"/>
    </row>
    <row r="17" ht="15.75" customHeight="1">
      <c r="A17" s="2"/>
      <c r="B17" s="2"/>
      <c r="C17" s="2"/>
      <c r="D17" s="2"/>
      <c r="F17" s="2" t="s">
        <v>34</v>
      </c>
      <c r="G17" s="6">
        <v>0.0</v>
      </c>
      <c r="H17" s="4">
        <f>+Backend!D175/(1-B19)</f>
        <v>0</v>
      </c>
      <c r="I17" s="5"/>
    </row>
    <row r="18" ht="15.75" customHeight="1">
      <c r="A18" s="1" t="s">
        <v>35</v>
      </c>
      <c r="B18" s="2"/>
      <c r="C18" s="2"/>
      <c r="D18" s="2"/>
      <c r="F18" s="2"/>
      <c r="G18" s="18" t="s">
        <v>29</v>
      </c>
      <c r="H18" s="16">
        <f>SUM(H15:H17)</f>
        <v>0</v>
      </c>
      <c r="I18" s="5"/>
    </row>
    <row r="19" ht="15.75" customHeight="1">
      <c r="A19" s="2" t="s">
        <v>36</v>
      </c>
      <c r="B19" s="19">
        <v>0.35</v>
      </c>
      <c r="C19" s="2"/>
      <c r="D19" s="2"/>
      <c r="F19" s="8"/>
      <c r="G19" s="8"/>
      <c r="H19" s="8"/>
      <c r="I19" s="5"/>
    </row>
    <row r="20" ht="15.75" customHeight="1">
      <c r="A20" s="2"/>
      <c r="B20" s="2"/>
      <c r="C20" s="2"/>
      <c r="D20" s="2"/>
      <c r="F20" s="2"/>
      <c r="G20" s="2"/>
      <c r="H20" s="2"/>
      <c r="I20" s="2"/>
    </row>
    <row r="21" ht="15.75" customHeight="1">
      <c r="A21" s="20"/>
      <c r="B21" s="20"/>
      <c r="C21" s="20"/>
      <c r="D21" s="20"/>
      <c r="E21" s="20" t="s">
        <v>37</v>
      </c>
      <c r="F21" s="20"/>
      <c r="G21" s="20"/>
      <c r="H21" s="20"/>
      <c r="I21" s="20"/>
    </row>
    <row r="22" ht="15.75" customHeight="1">
      <c r="A22" s="2"/>
      <c r="B22" s="21" t="s">
        <v>38</v>
      </c>
      <c r="C22" s="2"/>
      <c r="D22" s="8"/>
      <c r="F22" s="2"/>
      <c r="G22" s="21" t="s">
        <v>39</v>
      </c>
      <c r="H22" s="2"/>
      <c r="I22" s="8"/>
    </row>
    <row r="23" ht="15.75" customHeight="1">
      <c r="A23" s="22" t="s">
        <v>40</v>
      </c>
      <c r="B23" s="2" t="s">
        <v>41</v>
      </c>
      <c r="C23" s="2" t="s">
        <v>42</v>
      </c>
      <c r="D23" s="2" t="s">
        <v>43</v>
      </c>
      <c r="F23" s="22" t="s">
        <v>44</v>
      </c>
      <c r="G23" s="2" t="s">
        <v>41</v>
      </c>
      <c r="H23" s="2" t="s">
        <v>42</v>
      </c>
      <c r="I23" s="2" t="s">
        <v>43</v>
      </c>
    </row>
    <row r="24" ht="15.75" customHeight="1">
      <c r="A24" s="23" t="s">
        <v>45</v>
      </c>
      <c r="B24" s="24">
        <f>+Backend!F59</f>
        <v>26645.50847</v>
      </c>
      <c r="C24" s="25">
        <f>(B24*(1+B13))-B16</f>
        <v>26645.50847</v>
      </c>
      <c r="D24" s="26">
        <f>PMT(B14/12,B15,C24)*-1</f>
        <v>397.6889124</v>
      </c>
      <c r="F24" s="23" t="s">
        <v>45</v>
      </c>
      <c r="G24" s="24">
        <f>+Backend!F62</f>
        <v>40584.0678</v>
      </c>
      <c r="H24" s="25">
        <f>(G24*(1+B13))-B16</f>
        <v>40584.0678</v>
      </c>
      <c r="I24" s="26">
        <f>PMT(B14/12,B15,H24)*-1</f>
        <v>605.7243681</v>
      </c>
    </row>
    <row r="25" ht="15.75" customHeight="1">
      <c r="A25" s="23" t="s">
        <v>46</v>
      </c>
      <c r="B25" s="24">
        <f>B24+1000</f>
        <v>27645.50847</v>
      </c>
      <c r="C25" s="25">
        <f>(B25*(1+B13))-B16</f>
        <v>27645.50847</v>
      </c>
      <c r="D25" s="26">
        <f>PMT(B14/12,B15,C25)*-1</f>
        <v>412.6140887</v>
      </c>
      <c r="F25" s="23" t="s">
        <v>46</v>
      </c>
      <c r="G25" s="24">
        <f>G24+1000</f>
        <v>41584.0678</v>
      </c>
      <c r="H25" s="25">
        <f>(G25*(1+B13))-B16</f>
        <v>41584.0678</v>
      </c>
      <c r="I25" s="26">
        <f>PMT(B14/12,B15,H25)*-1</f>
        <v>620.6495444</v>
      </c>
    </row>
    <row r="26" ht="15.75" customHeight="1">
      <c r="A26" s="23" t="s">
        <v>47</v>
      </c>
      <c r="B26" s="24">
        <f>B25*1.2</f>
        <v>33174.61017</v>
      </c>
      <c r="C26" s="4">
        <f>(B26*(1+B13))-B16</f>
        <v>33174.61017</v>
      </c>
      <c r="D26" s="26">
        <f>PMT(B14/12,B15,C26)*-1</f>
        <v>495.1369065</v>
      </c>
      <c r="F26" s="23" t="s">
        <v>47</v>
      </c>
      <c r="G26" s="24">
        <f>G25*1.2</f>
        <v>49900.88136</v>
      </c>
      <c r="H26" s="4">
        <f>(G26*(1+B13))-B16</f>
        <v>49900.88136</v>
      </c>
      <c r="I26" s="26">
        <f>PMT(B14/12,B15,H26)*-1</f>
        <v>744.7794533</v>
      </c>
    </row>
    <row r="27" ht="15.75" customHeight="1">
      <c r="A27" s="27"/>
      <c r="B27" s="28"/>
      <c r="C27" s="27"/>
      <c r="D27" s="20"/>
      <c r="F27" s="27"/>
      <c r="G27" s="27"/>
      <c r="H27" s="27"/>
      <c r="I27" s="27"/>
    </row>
    <row r="28" ht="15.75" customHeight="1">
      <c r="A28" s="22" t="s">
        <v>48</v>
      </c>
      <c r="B28" s="2" t="s">
        <v>41</v>
      </c>
      <c r="C28" s="2" t="s">
        <v>42</v>
      </c>
      <c r="D28" s="2" t="s">
        <v>43</v>
      </c>
      <c r="F28" s="22" t="s">
        <v>49</v>
      </c>
      <c r="G28" s="2" t="s">
        <v>41</v>
      </c>
      <c r="H28" s="2" t="s">
        <v>42</v>
      </c>
      <c r="I28" s="2" t="s">
        <v>43</v>
      </c>
    </row>
    <row r="29" ht="15.75" customHeight="1">
      <c r="A29" s="23" t="s">
        <v>45</v>
      </c>
      <c r="B29" s="24">
        <f>+Backend!F60</f>
        <v>26645.50847</v>
      </c>
      <c r="C29" s="25">
        <f>(B29*(1+B13))-B16</f>
        <v>26645.50847</v>
      </c>
      <c r="D29" s="26">
        <f>PMT(B14/12,B15,C29)*-1</f>
        <v>397.6889124</v>
      </c>
      <c r="F29" s="23" t="s">
        <v>45</v>
      </c>
      <c r="G29" s="24">
        <f>+Backend!F63</f>
        <v>48694.23729</v>
      </c>
      <c r="H29" s="25">
        <f>(G29*(1+B13))-B16</f>
        <v>48694.23729</v>
      </c>
      <c r="I29" s="26">
        <f>PMT(B14/12,B15,H29)*-1</f>
        <v>726.7700778</v>
      </c>
    </row>
    <row r="30" ht="15.75" customHeight="1">
      <c r="A30" s="23" t="s">
        <v>46</v>
      </c>
      <c r="B30" s="24">
        <f>B29+1000</f>
        <v>27645.50847</v>
      </c>
      <c r="C30" s="25">
        <f>(B30*(1+B13))-B16</f>
        <v>27645.50847</v>
      </c>
      <c r="D30" s="26">
        <f>PMT(B14/12,B15,C30)*-1</f>
        <v>412.6140887</v>
      </c>
      <c r="F30" s="23" t="s">
        <v>46</v>
      </c>
      <c r="G30" s="24">
        <f>G29+1000</f>
        <v>49694.23729</v>
      </c>
      <c r="H30" s="25">
        <f>(G30*(1+B13))-B16</f>
        <v>49694.23729</v>
      </c>
      <c r="I30" s="26">
        <f>PMT(B14/12,B15,H30)*-1</f>
        <v>741.6952542</v>
      </c>
    </row>
    <row r="31" ht="15.75" customHeight="1">
      <c r="A31" s="23" t="s">
        <v>47</v>
      </c>
      <c r="B31" s="24">
        <f>B30*1.2</f>
        <v>33174.61017</v>
      </c>
      <c r="C31" s="4">
        <f>(B31*(1+B13))-B16</f>
        <v>33174.61017</v>
      </c>
      <c r="D31" s="26">
        <f>PMT(B14/12,B15,C31)*-1</f>
        <v>495.1369065</v>
      </c>
      <c r="F31" s="23" t="s">
        <v>47</v>
      </c>
      <c r="G31" s="24">
        <f>G30*1.2</f>
        <v>59633.08475</v>
      </c>
      <c r="H31" s="4">
        <f>(G31*(1+B13))-B16</f>
        <v>59633.08475</v>
      </c>
      <c r="I31" s="26">
        <f>PMT(B14/12,B15,H31)*-1</f>
        <v>890.034305</v>
      </c>
    </row>
    <row r="32" ht="15.75" customHeight="1">
      <c r="F32" s="20"/>
      <c r="G32" s="20"/>
      <c r="H32" s="20"/>
      <c r="I32" s="20"/>
    </row>
    <row r="33" ht="15.75" customHeight="1">
      <c r="A33" s="22" t="s">
        <v>50</v>
      </c>
      <c r="B33" s="2" t="s">
        <v>41</v>
      </c>
      <c r="C33" s="2" t="s">
        <v>42</v>
      </c>
      <c r="D33" s="2" t="s">
        <v>43</v>
      </c>
      <c r="E33" s="29"/>
      <c r="F33" s="22" t="s">
        <v>51</v>
      </c>
      <c r="G33" s="2" t="s">
        <v>41</v>
      </c>
      <c r="H33" s="2" t="s">
        <v>42</v>
      </c>
      <c r="I33" s="2" t="s">
        <v>43</v>
      </c>
    </row>
    <row r="34" ht="15.75" customHeight="1">
      <c r="A34" s="23" t="s">
        <v>45</v>
      </c>
      <c r="B34" s="24">
        <f>+Backend!F61</f>
        <v>31702.71186</v>
      </c>
      <c r="C34" s="25">
        <f>(B34*(1+B13))-B16</f>
        <v>31702.71186</v>
      </c>
      <c r="D34" s="26">
        <f>PMT(B14/12,B15,C34)*-1</f>
        <v>473.1685648</v>
      </c>
      <c r="F34" s="23" t="s">
        <v>45</v>
      </c>
      <c r="G34" s="24">
        <f>+Backend!F64</f>
        <v>50906.10169</v>
      </c>
      <c r="H34" s="25">
        <f>(G34*(1+B13))-B16</f>
        <v>50906.10169</v>
      </c>
      <c r="I34" s="26">
        <f>PMT(B14/12,B15,H34)*-1</f>
        <v>759.7825441</v>
      </c>
    </row>
    <row r="35" ht="15.75" customHeight="1">
      <c r="A35" s="23" t="s">
        <v>46</v>
      </c>
      <c r="B35" s="24">
        <f>B34+1000</f>
        <v>32702.71186</v>
      </c>
      <c r="C35" s="25">
        <f>(B35*(1+B13))-B16</f>
        <v>32702.71186</v>
      </c>
      <c r="D35" s="26">
        <f>PMT(B14/12,B15,C35)*-1</f>
        <v>488.0937411</v>
      </c>
      <c r="F35" s="23" t="s">
        <v>46</v>
      </c>
      <c r="G35" s="24">
        <f>G34+1000</f>
        <v>51906.10169</v>
      </c>
      <c r="H35" s="25">
        <f>(G35*(1+B13))-B16</f>
        <v>51906.10169</v>
      </c>
      <c r="I35" s="26">
        <f>PMT(B14/12,B15,H35)*-1</f>
        <v>774.7077205</v>
      </c>
    </row>
    <row r="36" ht="15.75" customHeight="1">
      <c r="A36" s="23" t="s">
        <v>47</v>
      </c>
      <c r="B36" s="24">
        <f>B35*1.2</f>
        <v>39243.25424</v>
      </c>
      <c r="C36" s="4">
        <f>(B36*(1+B13))-B16</f>
        <v>39243.25424</v>
      </c>
      <c r="D36" s="26">
        <f>PMT(B14/12,B15,C36)*-1</f>
        <v>585.7124893</v>
      </c>
      <c r="F36" s="23" t="s">
        <v>47</v>
      </c>
      <c r="G36" s="24">
        <f>G35*1.2</f>
        <v>62287.32203</v>
      </c>
      <c r="H36" s="4">
        <f>(G36*(1+B13))-B16</f>
        <v>62287.32203</v>
      </c>
      <c r="I36" s="26">
        <f>PMT(B14/12,B15,H36)*-1</f>
        <v>929.6492646</v>
      </c>
    </row>
    <row r="37" ht="15.75" customHeight="1">
      <c r="I37" s="20"/>
    </row>
    <row r="38" ht="15.75" customHeight="1"/>
    <row r="39" ht="15.75" customHeight="1">
      <c r="A39" s="1" t="s">
        <v>52</v>
      </c>
      <c r="B39" s="2"/>
      <c r="C39" s="2"/>
      <c r="D39" s="2"/>
    </row>
    <row r="40" ht="15.75" customHeight="1">
      <c r="A40" s="2" t="s">
        <v>59</v>
      </c>
      <c r="B40" s="32"/>
      <c r="C40" s="32"/>
      <c r="D40" s="32"/>
      <c r="E40" s="20"/>
      <c r="H40" s="29"/>
    </row>
    <row r="41" ht="15.75" customHeight="1">
      <c r="A41" s="2" t="s">
        <v>54</v>
      </c>
      <c r="B41" s="32"/>
      <c r="C41" s="32"/>
      <c r="D41" s="32"/>
      <c r="E41" s="20"/>
    </row>
    <row r="42" ht="15.75" customHeight="1">
      <c r="A42" s="2" t="s">
        <v>55</v>
      </c>
      <c r="B42" s="32"/>
      <c r="C42" s="32"/>
      <c r="D42" s="32"/>
      <c r="E42" s="20"/>
    </row>
    <row r="43" ht="15.75" customHeight="1">
      <c r="A43" s="2" t="s">
        <v>56</v>
      </c>
      <c r="B43" s="32"/>
      <c r="C43" s="32"/>
      <c r="D43" s="32"/>
      <c r="E43" s="20"/>
    </row>
    <row r="44" ht="15.75" customHeight="1">
      <c r="A44" s="2" t="s">
        <v>57</v>
      </c>
      <c r="B44" s="32"/>
      <c r="C44" s="32"/>
      <c r="D44" s="32"/>
      <c r="E44" s="20"/>
      <c r="F44" s="29"/>
    </row>
    <row r="45" ht="15.75" customHeight="1">
      <c r="A45" s="2" t="s">
        <v>58</v>
      </c>
      <c r="B45" s="32"/>
      <c r="C45" s="32"/>
      <c r="D45" s="32"/>
      <c r="E45" s="20"/>
      <c r="F45" s="20"/>
      <c r="G45" s="20"/>
      <c r="H45" s="20"/>
      <c r="I45" s="20"/>
    </row>
    <row r="46" ht="15.75" customHeight="1">
      <c r="A46" s="27"/>
      <c r="B46" s="28"/>
      <c r="C46" s="28"/>
      <c r="D46" s="20"/>
      <c r="E46" s="20"/>
      <c r="F46" s="20"/>
      <c r="G46" s="20"/>
      <c r="H46" s="20"/>
      <c r="I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6.13"/>
    <col customWidth="1" min="3" max="3" width="17.38"/>
    <col customWidth="1" min="4" max="4" width="12.63"/>
    <col customWidth="1" min="5" max="5" width="18.88"/>
    <col customWidth="1" min="6" max="6" width="17.63"/>
    <col customWidth="1" min="7" max="7" width="13.25"/>
    <col customWidth="1" min="8" max="8" width="17.5"/>
    <col customWidth="1" min="9" max="9" width="20.63"/>
    <col customWidth="1" min="10" max="10" width="15.5"/>
    <col customWidth="1" min="11" max="11" width="14.38"/>
  </cols>
  <sheetData>
    <row r="1" ht="15.75" customHeight="1">
      <c r="A1" s="34" t="s">
        <v>60</v>
      </c>
      <c r="B1" s="34"/>
      <c r="C1" s="34"/>
      <c r="D1" s="34"/>
      <c r="E1" s="35"/>
      <c r="F1" s="35" t="s">
        <v>61</v>
      </c>
      <c r="G1" s="35"/>
      <c r="H1" s="35"/>
      <c r="I1" s="35"/>
      <c r="J1" s="35"/>
      <c r="K1" s="36"/>
      <c r="L1" s="36"/>
      <c r="M1" s="36"/>
      <c r="N1" s="36"/>
      <c r="O1" s="36"/>
    </row>
    <row r="2" ht="15.75" customHeight="1">
      <c r="A2" s="34" t="s">
        <v>62</v>
      </c>
      <c r="B2" s="37">
        <f>+'Pricing Workbook'!B2</f>
        <v>58</v>
      </c>
      <c r="C2" s="34" t="s">
        <v>63</v>
      </c>
      <c r="D2" s="37">
        <f>+'Pricing Workbook'!B5</f>
        <v>0</v>
      </c>
      <c r="E2" s="35"/>
      <c r="F2" s="34" t="s">
        <v>4</v>
      </c>
      <c r="G2" s="38">
        <f>+'Pricing Workbook'!J2</f>
        <v>1</v>
      </c>
      <c r="H2" s="34" t="s">
        <v>64</v>
      </c>
      <c r="I2" s="38">
        <f>+'Pricing Workbook'!J10</f>
        <v>0</v>
      </c>
      <c r="J2" s="35"/>
      <c r="K2" s="36"/>
      <c r="L2" s="36"/>
      <c r="M2" s="36"/>
      <c r="N2" s="36"/>
      <c r="O2" s="36"/>
    </row>
    <row r="3" ht="15.75" customHeight="1">
      <c r="A3" s="35" t="s">
        <v>7</v>
      </c>
      <c r="B3" s="39">
        <f>+'Pricing Workbook'!B4</f>
        <v>0</v>
      </c>
      <c r="C3" s="34" t="s">
        <v>65</v>
      </c>
      <c r="D3" s="37">
        <f>+'Pricing Workbook'!B6</f>
        <v>0</v>
      </c>
      <c r="E3" s="35"/>
      <c r="F3" s="35" t="s">
        <v>6</v>
      </c>
      <c r="G3" s="38">
        <f>+'Pricing Workbook'!J3</f>
        <v>2</v>
      </c>
      <c r="H3" s="34" t="s">
        <v>22</v>
      </c>
      <c r="I3" s="38">
        <f>+'Pricing Workbook'!J11</f>
        <v>0</v>
      </c>
      <c r="J3" s="35"/>
      <c r="K3" s="36"/>
      <c r="L3" s="36"/>
      <c r="M3" s="36"/>
      <c r="N3" s="36"/>
      <c r="O3" s="36"/>
    </row>
    <row r="4" ht="15.75" customHeight="1">
      <c r="A4" s="34" t="s">
        <v>66</v>
      </c>
      <c r="B4" s="37">
        <f>+'Pricing Workbook'!B3</f>
        <v>0</v>
      </c>
      <c r="C4" s="34" t="s">
        <v>67</v>
      </c>
      <c r="D4" s="37">
        <f>+'Pricing Workbook'!B9</f>
        <v>0</v>
      </c>
      <c r="E4" s="35"/>
      <c r="F4" s="35" t="s">
        <v>68</v>
      </c>
      <c r="G4" s="38">
        <f>+'Pricing Workbook'!J4</f>
        <v>2</v>
      </c>
      <c r="H4" s="34" t="s">
        <v>24</v>
      </c>
      <c r="I4" s="38">
        <f>+'Pricing Workbook'!J12</f>
        <v>0</v>
      </c>
      <c r="J4" s="40"/>
      <c r="K4" s="36"/>
      <c r="L4" s="36"/>
      <c r="M4" s="36"/>
      <c r="N4" s="36"/>
      <c r="O4" s="36"/>
    </row>
    <row r="5" ht="15.75" customHeight="1">
      <c r="A5" s="34" t="s">
        <v>69</v>
      </c>
      <c r="B5" s="41">
        <f>SUM('Pricing Workbook'!F5:F9)</f>
        <v>0</v>
      </c>
      <c r="C5" s="34" t="s">
        <v>70</v>
      </c>
      <c r="D5" s="37">
        <f>+'Pricing Workbook'!B8</f>
        <v>0</v>
      </c>
      <c r="E5" s="35"/>
      <c r="F5" s="35" t="s">
        <v>11</v>
      </c>
      <c r="G5" s="38">
        <f>+'Pricing Workbook'!J5</f>
        <v>0</v>
      </c>
      <c r="H5" s="34" t="s">
        <v>31</v>
      </c>
      <c r="I5" s="38">
        <f>+'Pricing Workbook'!J15</f>
        <v>0</v>
      </c>
      <c r="J5" s="40"/>
      <c r="K5" s="36"/>
      <c r="L5" s="36"/>
      <c r="M5" s="36"/>
      <c r="N5" s="36"/>
      <c r="O5" s="36"/>
    </row>
    <row r="6" ht="15.75" customHeight="1">
      <c r="A6" s="34" t="s">
        <v>20</v>
      </c>
      <c r="B6" s="41">
        <f>SUM(B2:B5)</f>
        <v>58</v>
      </c>
      <c r="C6" s="34" t="s">
        <v>71</v>
      </c>
      <c r="D6" s="37">
        <f>+'Pricing Workbook'!B7</f>
        <v>0</v>
      </c>
      <c r="E6" s="35"/>
      <c r="F6" s="34" t="s">
        <v>72</v>
      </c>
      <c r="G6" s="38">
        <f>+'Pricing Workbook'!J6</f>
        <v>10</v>
      </c>
      <c r="H6" s="34" t="s">
        <v>33</v>
      </c>
      <c r="I6" s="38">
        <f>+'Pricing Workbook'!J16</f>
        <v>0</v>
      </c>
      <c r="J6" s="35"/>
      <c r="K6" s="36"/>
      <c r="L6" s="36"/>
      <c r="M6" s="36"/>
      <c r="N6" s="36"/>
      <c r="O6" s="36"/>
    </row>
    <row r="7" ht="15.75" customHeight="1">
      <c r="A7" s="34"/>
      <c r="B7" s="34"/>
      <c r="C7" s="34"/>
      <c r="D7" s="34"/>
      <c r="E7" s="35"/>
      <c r="F7" s="34" t="s">
        <v>15</v>
      </c>
      <c r="G7" s="38">
        <f>+'Pricing Workbook'!J7</f>
        <v>0</v>
      </c>
      <c r="H7" s="34" t="s">
        <v>34</v>
      </c>
      <c r="I7" s="38">
        <f>+'Pricing Workbook'!J17</f>
        <v>0</v>
      </c>
      <c r="J7" s="35"/>
      <c r="K7" s="36"/>
      <c r="L7" s="36"/>
      <c r="M7" s="36"/>
      <c r="N7" s="36"/>
      <c r="O7" s="36"/>
    </row>
    <row r="8" ht="15.75" customHeight="1">
      <c r="A8" s="34" t="s">
        <v>73</v>
      </c>
      <c r="B8" s="42">
        <f>+'Pricing Workbook'!B19</f>
        <v>0.41</v>
      </c>
      <c r="C8" s="34"/>
      <c r="D8" s="34"/>
      <c r="E8" s="35"/>
      <c r="F8" s="35" t="s">
        <v>17</v>
      </c>
      <c r="G8" s="38">
        <f>+'Pricing Workbook'!J8</f>
        <v>35</v>
      </c>
      <c r="H8" s="34" t="s">
        <v>26</v>
      </c>
      <c r="I8" s="38">
        <f>+'Pricing Workbook'!J13</f>
        <v>0</v>
      </c>
      <c r="J8" s="35"/>
      <c r="K8" s="36"/>
      <c r="L8" s="36"/>
      <c r="M8" s="36"/>
      <c r="N8" s="36"/>
      <c r="O8" s="36"/>
    </row>
    <row r="9" ht="15.75" customHeight="1">
      <c r="A9" s="34"/>
      <c r="B9" s="34"/>
      <c r="C9" s="34"/>
      <c r="D9" s="34"/>
      <c r="E9" s="35"/>
      <c r="F9" s="34" t="s">
        <v>19</v>
      </c>
      <c r="G9" s="38">
        <f>+'Pricing Workbook'!J9</f>
        <v>0</v>
      </c>
      <c r="H9" s="35"/>
      <c r="I9" s="35"/>
      <c r="J9" s="35"/>
      <c r="K9" s="36"/>
      <c r="L9" s="36"/>
      <c r="M9" s="36"/>
      <c r="N9" s="36"/>
      <c r="O9" s="36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36"/>
      <c r="L10" s="36"/>
      <c r="M10" s="36"/>
      <c r="N10" s="36"/>
      <c r="O10" s="36"/>
    </row>
    <row r="11" ht="15.75" customHeight="1">
      <c r="A11" s="35" t="s">
        <v>74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36"/>
      <c r="O11" s="36"/>
    </row>
    <row r="12" ht="15.75" customHeight="1">
      <c r="A12" s="35" t="s">
        <v>75</v>
      </c>
      <c r="B12" s="35" t="s">
        <v>76</v>
      </c>
      <c r="C12" s="35" t="s">
        <v>77</v>
      </c>
      <c r="D12" s="35"/>
      <c r="E12" s="35" t="s">
        <v>78</v>
      </c>
      <c r="F12" s="35" t="s">
        <v>76</v>
      </c>
      <c r="G12" s="35" t="s">
        <v>77</v>
      </c>
      <c r="H12" s="35"/>
      <c r="I12" s="35" t="s">
        <v>79</v>
      </c>
      <c r="J12" s="35" t="s">
        <v>76</v>
      </c>
      <c r="K12" s="35" t="s">
        <v>77</v>
      </c>
      <c r="L12" s="35"/>
      <c r="M12" s="36"/>
      <c r="N12" s="36"/>
      <c r="O12" s="36"/>
    </row>
    <row r="13" ht="15.75" customHeight="1">
      <c r="A13" s="35" t="s">
        <v>80</v>
      </c>
      <c r="B13" s="44">
        <f t="shared" ref="B13:B15" si="1">G70</f>
        <v>177</v>
      </c>
      <c r="C13" s="45">
        <f t="shared" ref="C13:C15" si="2">I70</f>
        <v>7301.25</v>
      </c>
      <c r="D13" s="35"/>
      <c r="E13" s="35" t="s">
        <v>81</v>
      </c>
      <c r="F13" s="44">
        <f t="shared" ref="F13:F15" si="3">G74</f>
        <v>177</v>
      </c>
      <c r="G13" s="45">
        <f>I70</f>
        <v>7301.25</v>
      </c>
      <c r="H13" s="35"/>
      <c r="I13" s="35" t="s">
        <v>82</v>
      </c>
      <c r="J13" s="44">
        <f t="shared" ref="J13:J15" si="4">G78</f>
        <v>177</v>
      </c>
      <c r="K13" s="45">
        <f t="shared" ref="K13:K15" si="5">I78</f>
        <v>9735</v>
      </c>
      <c r="L13" s="40"/>
      <c r="M13" s="46"/>
      <c r="N13" s="36"/>
      <c r="O13" s="36"/>
    </row>
    <row r="14" ht="15.75" customHeight="1">
      <c r="A14" s="35" t="s">
        <v>83</v>
      </c>
      <c r="B14" s="44">
        <f t="shared" si="1"/>
        <v>0</v>
      </c>
      <c r="C14" s="45">
        <f t="shared" si="2"/>
        <v>0</v>
      </c>
      <c r="D14" s="35"/>
      <c r="E14" s="35" t="s">
        <v>84</v>
      </c>
      <c r="F14" s="44">
        <f t="shared" si="3"/>
        <v>0</v>
      </c>
      <c r="G14" s="45">
        <f t="shared" ref="G14:G15" si="6">I75</f>
        <v>0</v>
      </c>
      <c r="H14" s="35"/>
      <c r="I14" s="35" t="s">
        <v>85</v>
      </c>
      <c r="J14" s="44">
        <f t="shared" si="4"/>
        <v>0</v>
      </c>
      <c r="K14" s="45">
        <f t="shared" si="5"/>
        <v>0</v>
      </c>
      <c r="L14" s="40"/>
      <c r="M14" s="46"/>
      <c r="N14" s="36"/>
      <c r="O14" s="36"/>
    </row>
    <row r="15" ht="15.75" customHeight="1">
      <c r="A15" s="35" t="s">
        <v>86</v>
      </c>
      <c r="B15" s="44">
        <f t="shared" si="1"/>
        <v>0</v>
      </c>
      <c r="C15" s="45">
        <f t="shared" si="2"/>
        <v>0</v>
      </c>
      <c r="D15" s="35"/>
      <c r="E15" s="35" t="s">
        <v>87</v>
      </c>
      <c r="F15" s="44">
        <f t="shared" si="3"/>
        <v>0</v>
      </c>
      <c r="G15" s="45">
        <f t="shared" si="6"/>
        <v>0</v>
      </c>
      <c r="H15" s="35"/>
      <c r="I15" s="35" t="s">
        <v>88</v>
      </c>
      <c r="J15" s="44">
        <f t="shared" si="4"/>
        <v>0</v>
      </c>
      <c r="K15" s="45">
        <f t="shared" si="5"/>
        <v>0</v>
      </c>
      <c r="L15" s="40"/>
      <c r="M15" s="46"/>
      <c r="N15" s="36"/>
      <c r="O15" s="36"/>
    </row>
    <row r="16" ht="15.75" customHeight="1">
      <c r="A16" s="35" t="s">
        <v>89</v>
      </c>
      <c r="B16" s="44">
        <f t="shared" ref="B16:B17" si="7">G108</f>
        <v>6</v>
      </c>
      <c r="C16" s="45">
        <f t="shared" ref="C16:C17" si="8">I108</f>
        <v>442.2</v>
      </c>
      <c r="D16" s="35"/>
      <c r="E16" s="35" t="s">
        <v>89</v>
      </c>
      <c r="F16" s="44">
        <f t="shared" ref="F16:F17" si="9">G108</f>
        <v>6</v>
      </c>
      <c r="G16" s="45">
        <f t="shared" ref="G16:G17" si="10">I108</f>
        <v>442.2</v>
      </c>
      <c r="H16" s="35"/>
      <c r="I16" s="35" t="s">
        <v>89</v>
      </c>
      <c r="J16" s="44">
        <f t="shared" ref="J16:J17" si="11">G108</f>
        <v>6</v>
      </c>
      <c r="K16" s="45">
        <f t="shared" ref="K16:K17" si="12">I108</f>
        <v>442.2</v>
      </c>
      <c r="L16" s="40"/>
      <c r="M16" s="46"/>
      <c r="N16" s="36"/>
      <c r="O16" s="36"/>
    </row>
    <row r="17" ht="15.75" customHeight="1">
      <c r="A17" s="35" t="s">
        <v>90</v>
      </c>
      <c r="B17" s="44">
        <f t="shared" si="7"/>
        <v>0</v>
      </c>
      <c r="C17" s="45">
        <f t="shared" si="8"/>
        <v>0</v>
      </c>
      <c r="D17" s="35"/>
      <c r="E17" s="35" t="s">
        <v>90</v>
      </c>
      <c r="F17" s="44">
        <f t="shared" si="9"/>
        <v>0</v>
      </c>
      <c r="G17" s="45">
        <f t="shared" si="10"/>
        <v>0</v>
      </c>
      <c r="H17" s="35"/>
      <c r="I17" s="35" t="s">
        <v>90</v>
      </c>
      <c r="J17" s="44">
        <f t="shared" si="11"/>
        <v>0</v>
      </c>
      <c r="K17" s="45">
        <f t="shared" si="12"/>
        <v>0</v>
      </c>
      <c r="L17" s="40"/>
      <c r="M17" s="46"/>
      <c r="N17" s="36"/>
      <c r="O17" s="36"/>
    </row>
    <row r="18" ht="15.75" customHeight="1">
      <c r="A18" s="35" t="s">
        <v>91</v>
      </c>
      <c r="B18" s="44">
        <f t="shared" ref="B18:B19" si="13">G83</f>
        <v>0</v>
      </c>
      <c r="C18" s="45">
        <f t="shared" ref="C18:C19" si="14">I83</f>
        <v>0</v>
      </c>
      <c r="D18" s="35"/>
      <c r="E18" s="35" t="s">
        <v>91</v>
      </c>
      <c r="F18" s="44">
        <f t="shared" ref="F18:F19" si="15">G83</f>
        <v>0</v>
      </c>
      <c r="G18" s="45">
        <f t="shared" ref="G18:G19" si="16">I83</f>
        <v>0</v>
      </c>
      <c r="H18" s="35"/>
      <c r="I18" s="35" t="s">
        <v>91</v>
      </c>
      <c r="J18" s="44">
        <f t="shared" ref="J18:J19" si="17">G83</f>
        <v>0</v>
      </c>
      <c r="K18" s="45">
        <f t="shared" ref="K18:K19" si="18">I83</f>
        <v>0</v>
      </c>
      <c r="L18" s="35"/>
      <c r="M18" s="36"/>
      <c r="N18" s="36"/>
      <c r="O18" s="36"/>
    </row>
    <row r="19" ht="15.75" customHeight="1">
      <c r="A19" s="35" t="s">
        <v>92</v>
      </c>
      <c r="B19" s="44">
        <f t="shared" si="13"/>
        <v>0</v>
      </c>
      <c r="C19" s="45">
        <f t="shared" si="14"/>
        <v>0</v>
      </c>
      <c r="D19" s="35"/>
      <c r="E19" s="35" t="s">
        <v>92</v>
      </c>
      <c r="F19" s="44">
        <f t="shared" si="15"/>
        <v>0</v>
      </c>
      <c r="G19" s="45">
        <f t="shared" si="16"/>
        <v>0</v>
      </c>
      <c r="H19" s="35"/>
      <c r="I19" s="35" t="s">
        <v>92</v>
      </c>
      <c r="J19" s="44">
        <f t="shared" si="17"/>
        <v>0</v>
      </c>
      <c r="K19" s="45">
        <f t="shared" si="18"/>
        <v>0</v>
      </c>
      <c r="L19" s="35"/>
      <c r="M19" s="36"/>
      <c r="N19" s="36"/>
      <c r="O19" s="36"/>
    </row>
    <row r="20" ht="15.75" customHeight="1">
      <c r="A20" s="35" t="s">
        <v>93</v>
      </c>
      <c r="B20" s="44">
        <f>G110</f>
        <v>2</v>
      </c>
      <c r="C20" s="45">
        <f>I110</f>
        <v>63.8</v>
      </c>
      <c r="D20" s="35"/>
      <c r="E20" s="35" t="s">
        <v>93</v>
      </c>
      <c r="F20" s="44">
        <f>G110</f>
        <v>2</v>
      </c>
      <c r="G20" s="45">
        <f>I110</f>
        <v>63.8</v>
      </c>
      <c r="H20" s="35"/>
      <c r="I20" s="35" t="s">
        <v>93</v>
      </c>
      <c r="J20" s="44">
        <f>G110</f>
        <v>2</v>
      </c>
      <c r="K20" s="45">
        <f>I110</f>
        <v>63.8</v>
      </c>
      <c r="L20" s="35"/>
      <c r="M20" s="36"/>
      <c r="N20" s="36"/>
      <c r="O20" s="36"/>
    </row>
    <row r="21" ht="15.75" customHeight="1">
      <c r="A21" s="35" t="s">
        <v>94</v>
      </c>
      <c r="B21" s="44">
        <f>G82</f>
        <v>3</v>
      </c>
      <c r="C21" s="45">
        <f>I82</f>
        <v>151.8</v>
      </c>
      <c r="D21" s="35"/>
      <c r="E21" s="35" t="s">
        <v>94</v>
      </c>
      <c r="F21" s="44">
        <f>G82</f>
        <v>3</v>
      </c>
      <c r="G21" s="45">
        <f>I82</f>
        <v>151.8</v>
      </c>
      <c r="H21" s="35"/>
      <c r="I21" s="35" t="s">
        <v>94</v>
      </c>
      <c r="J21" s="44">
        <f>G82</f>
        <v>3</v>
      </c>
      <c r="K21" s="45">
        <f>I82</f>
        <v>151.8</v>
      </c>
      <c r="L21" s="35"/>
      <c r="M21" s="36"/>
      <c r="N21" s="36"/>
      <c r="O21" s="36"/>
    </row>
    <row r="22" ht="15.75" customHeight="1">
      <c r="A22" s="35" t="s">
        <v>95</v>
      </c>
      <c r="B22" s="44">
        <f t="shared" ref="B22:B23" si="19">G111</f>
        <v>1</v>
      </c>
      <c r="C22" s="45">
        <f t="shared" ref="C22:C23" si="20">I111</f>
        <v>11</v>
      </c>
      <c r="D22" s="35"/>
      <c r="E22" s="35" t="s">
        <v>95</v>
      </c>
      <c r="F22" s="44">
        <f t="shared" ref="F22:F23" si="21">G111</f>
        <v>1</v>
      </c>
      <c r="G22" s="45">
        <f t="shared" ref="G22:G23" si="22">I111</f>
        <v>11</v>
      </c>
      <c r="H22" s="35"/>
      <c r="I22" s="35" t="s">
        <v>95</v>
      </c>
      <c r="J22" s="44">
        <f t="shared" ref="J22:J23" si="23">G111</f>
        <v>1</v>
      </c>
      <c r="K22" s="45">
        <f t="shared" ref="K22:K23" si="24">I111</f>
        <v>11</v>
      </c>
      <c r="L22" s="35"/>
      <c r="M22" s="36"/>
      <c r="N22" s="36"/>
      <c r="O22" s="36"/>
    </row>
    <row r="23" ht="15.75" customHeight="1">
      <c r="A23" s="35" t="s">
        <v>96</v>
      </c>
      <c r="B23" s="44">
        <f t="shared" si="19"/>
        <v>2</v>
      </c>
      <c r="C23" s="45">
        <f t="shared" si="20"/>
        <v>33</v>
      </c>
      <c r="D23" s="35"/>
      <c r="E23" s="35" t="s">
        <v>96</v>
      </c>
      <c r="F23" s="44">
        <f t="shared" si="21"/>
        <v>2</v>
      </c>
      <c r="G23" s="45">
        <f t="shared" si="22"/>
        <v>33</v>
      </c>
      <c r="H23" s="35"/>
      <c r="I23" s="35" t="s">
        <v>96</v>
      </c>
      <c r="J23" s="44">
        <f t="shared" si="23"/>
        <v>2</v>
      </c>
      <c r="K23" s="45">
        <f t="shared" si="24"/>
        <v>33</v>
      </c>
      <c r="L23" s="35"/>
      <c r="M23" s="36"/>
      <c r="N23" s="36"/>
      <c r="O23" s="36"/>
    </row>
    <row r="24" ht="15.75" customHeight="1">
      <c r="A24" s="35" t="s">
        <v>97</v>
      </c>
      <c r="B24" s="44">
        <f>G86</f>
        <v>1</v>
      </c>
      <c r="C24" s="45">
        <f>I86</f>
        <v>275</v>
      </c>
      <c r="D24" s="35"/>
      <c r="E24" s="35" t="s">
        <v>97</v>
      </c>
      <c r="F24" s="44">
        <f>G86</f>
        <v>1</v>
      </c>
      <c r="G24" s="45">
        <f>I86</f>
        <v>275</v>
      </c>
      <c r="H24" s="35"/>
      <c r="I24" s="35" t="s">
        <v>98</v>
      </c>
      <c r="J24" s="44">
        <f>G87</f>
        <v>1</v>
      </c>
      <c r="K24" s="45">
        <f>I87</f>
        <v>825</v>
      </c>
      <c r="L24" s="35"/>
      <c r="M24" s="36"/>
      <c r="N24" s="36"/>
      <c r="O24" s="36"/>
    </row>
    <row r="25" ht="15.75" customHeight="1">
      <c r="A25" s="35" t="s">
        <v>99</v>
      </c>
      <c r="B25" s="44">
        <f>G152</f>
        <v>1</v>
      </c>
      <c r="C25" s="45">
        <f>I152</f>
        <v>500</v>
      </c>
      <c r="D25" s="35"/>
      <c r="E25" s="35" t="s">
        <v>99</v>
      </c>
      <c r="F25" s="44">
        <f>G152</f>
        <v>1</v>
      </c>
      <c r="G25" s="45">
        <f>I152</f>
        <v>500</v>
      </c>
      <c r="H25" s="35"/>
      <c r="I25" s="35" t="s">
        <v>99</v>
      </c>
      <c r="J25" s="44">
        <f>G152</f>
        <v>1</v>
      </c>
      <c r="K25" s="45">
        <f>I152</f>
        <v>500</v>
      </c>
      <c r="L25" s="35"/>
      <c r="M25" s="36"/>
      <c r="N25" s="36"/>
      <c r="O25" s="36"/>
    </row>
    <row r="26" ht="15.75" customHeight="1">
      <c r="A26" s="35" t="s">
        <v>100</v>
      </c>
      <c r="B26" s="44">
        <f>G135</f>
        <v>58</v>
      </c>
      <c r="C26" s="45">
        <f>I135</f>
        <v>4640</v>
      </c>
      <c r="D26" s="35"/>
      <c r="E26" s="35" t="s">
        <v>100</v>
      </c>
      <c r="F26" s="44">
        <f>G135</f>
        <v>58</v>
      </c>
      <c r="G26" s="45">
        <f>I135</f>
        <v>4640</v>
      </c>
      <c r="H26" s="35"/>
      <c r="I26" s="35" t="s">
        <v>100</v>
      </c>
      <c r="J26" s="44">
        <f>G135</f>
        <v>58</v>
      </c>
      <c r="K26" s="45">
        <f>I135</f>
        <v>4640</v>
      </c>
      <c r="L26" s="35"/>
      <c r="M26" s="36"/>
      <c r="N26" s="36"/>
      <c r="O26" s="36"/>
    </row>
    <row r="27" ht="15.75" customHeight="1">
      <c r="A27" s="35" t="s">
        <v>101</v>
      </c>
      <c r="B27" s="44">
        <f t="shared" ref="B27:B28" si="25">G147</f>
        <v>0</v>
      </c>
      <c r="C27" s="45">
        <f t="shared" ref="C27:C28" si="26">I147</f>
        <v>0</v>
      </c>
      <c r="D27" s="35"/>
      <c r="E27" s="35" t="s">
        <v>101</v>
      </c>
      <c r="F27" s="44">
        <f t="shared" ref="F27:F28" si="27">G147</f>
        <v>0</v>
      </c>
      <c r="G27" s="45">
        <f t="shared" ref="G27:G28" si="28">I147</f>
        <v>0</v>
      </c>
      <c r="H27" s="35"/>
      <c r="I27" s="35" t="s">
        <v>101</v>
      </c>
      <c r="J27" s="44">
        <f t="shared" ref="J27:J28" si="29">G147</f>
        <v>0</v>
      </c>
      <c r="K27" s="45">
        <f t="shared" ref="K27:K28" si="30">I147</f>
        <v>0</v>
      </c>
      <c r="L27" s="35"/>
      <c r="M27" s="36"/>
      <c r="N27" s="36"/>
      <c r="O27" s="36"/>
    </row>
    <row r="28" ht="15.75" customHeight="1">
      <c r="A28" s="35" t="s">
        <v>102</v>
      </c>
      <c r="B28" s="44">
        <f t="shared" si="25"/>
        <v>0</v>
      </c>
      <c r="C28" s="45">
        <f t="shared" si="26"/>
        <v>0</v>
      </c>
      <c r="D28" s="35"/>
      <c r="E28" s="35" t="s">
        <v>102</v>
      </c>
      <c r="F28" s="44">
        <f t="shared" si="27"/>
        <v>0</v>
      </c>
      <c r="G28" s="45">
        <f t="shared" si="28"/>
        <v>0</v>
      </c>
      <c r="H28" s="35"/>
      <c r="I28" s="35" t="s">
        <v>102</v>
      </c>
      <c r="J28" s="44">
        <f t="shared" si="29"/>
        <v>0</v>
      </c>
      <c r="K28" s="45">
        <f t="shared" si="30"/>
        <v>0</v>
      </c>
      <c r="L28" s="35"/>
    </row>
    <row r="29" ht="15.75" customHeight="1">
      <c r="A29" s="35" t="s">
        <v>103</v>
      </c>
      <c r="B29" s="44">
        <f>G138</f>
        <v>3</v>
      </c>
      <c r="C29" s="45">
        <f>I138</f>
        <v>750</v>
      </c>
      <c r="D29" s="35"/>
      <c r="E29" s="35" t="s">
        <v>103</v>
      </c>
      <c r="F29" s="44">
        <f>G138</f>
        <v>3</v>
      </c>
      <c r="G29" s="45">
        <f>I138</f>
        <v>750</v>
      </c>
      <c r="H29" s="35"/>
      <c r="I29" s="35" t="s">
        <v>104</v>
      </c>
      <c r="J29" s="44">
        <f>G138</f>
        <v>3</v>
      </c>
      <c r="K29" s="45">
        <f>I138</f>
        <v>750</v>
      </c>
      <c r="L29" s="35"/>
      <c r="M29" s="36"/>
      <c r="N29" s="36"/>
      <c r="O29" s="36"/>
    </row>
    <row r="30" ht="15.75" customHeight="1">
      <c r="A30" s="35" t="s">
        <v>105</v>
      </c>
      <c r="B30" s="44">
        <f t="shared" ref="B30:B31" si="31">G153</f>
        <v>1</v>
      </c>
      <c r="C30" s="45">
        <f t="shared" ref="C30:C31" si="32">I153</f>
        <v>220</v>
      </c>
      <c r="D30" s="35"/>
      <c r="E30" s="35" t="s">
        <v>105</v>
      </c>
      <c r="F30" s="44">
        <f t="shared" ref="F30:F31" si="33">G153</f>
        <v>1</v>
      </c>
      <c r="G30" s="45">
        <f t="shared" ref="G30:G31" si="34">I153</f>
        <v>220</v>
      </c>
      <c r="H30" s="35"/>
      <c r="I30" s="35" t="s">
        <v>106</v>
      </c>
      <c r="J30" s="44">
        <f t="shared" ref="J30:J31" si="35">G153</f>
        <v>1</v>
      </c>
      <c r="K30" s="45">
        <f t="shared" ref="K30:K31" si="36">I153</f>
        <v>220</v>
      </c>
      <c r="L30" s="35"/>
      <c r="M30" s="36"/>
      <c r="N30" s="36"/>
      <c r="O30" s="36"/>
    </row>
    <row r="31" ht="15.75" customHeight="1">
      <c r="A31" s="35" t="s">
        <v>107</v>
      </c>
      <c r="B31" s="44">
        <f t="shared" si="31"/>
        <v>1</v>
      </c>
      <c r="C31" s="45">
        <f t="shared" si="32"/>
        <v>55</v>
      </c>
      <c r="D31" s="35"/>
      <c r="E31" s="35" t="s">
        <v>107</v>
      </c>
      <c r="F31" s="44">
        <f t="shared" si="33"/>
        <v>1</v>
      </c>
      <c r="G31" s="45">
        <f t="shared" si="34"/>
        <v>55</v>
      </c>
      <c r="H31" s="35"/>
      <c r="I31" s="35" t="s">
        <v>107</v>
      </c>
      <c r="J31" s="44">
        <f t="shared" si="35"/>
        <v>1</v>
      </c>
      <c r="K31" s="45">
        <f t="shared" si="36"/>
        <v>55</v>
      </c>
      <c r="L31" s="35"/>
      <c r="M31" s="36"/>
      <c r="N31" s="36"/>
      <c r="O31" s="36"/>
    </row>
    <row r="32" ht="15.75" customHeight="1">
      <c r="A32" s="35"/>
      <c r="B32" s="35" t="s">
        <v>29</v>
      </c>
      <c r="C32" s="45">
        <f>SUM(C13:C31)</f>
        <v>14443.05</v>
      </c>
      <c r="D32" s="35"/>
      <c r="E32" s="35"/>
      <c r="F32" s="35" t="s">
        <v>29</v>
      </c>
      <c r="G32" s="45">
        <f>SUM(G13:G31)</f>
        <v>14443.05</v>
      </c>
      <c r="H32" s="35"/>
      <c r="I32" s="35"/>
      <c r="J32" s="35" t="s">
        <v>29</v>
      </c>
      <c r="K32" s="45">
        <f>SUM(K13:K31)</f>
        <v>17426.8</v>
      </c>
      <c r="L32" s="35"/>
      <c r="M32" s="36"/>
      <c r="N32" s="36"/>
      <c r="O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47"/>
      <c r="K33" s="35"/>
      <c r="L33" s="35"/>
      <c r="M33" s="36"/>
      <c r="N33" s="36"/>
      <c r="O33" s="36"/>
    </row>
    <row r="34" ht="15.75" customHeight="1">
      <c r="A34" s="35" t="s">
        <v>108</v>
      </c>
      <c r="B34" s="35" t="s">
        <v>76</v>
      </c>
      <c r="C34" s="35" t="s">
        <v>77</v>
      </c>
      <c r="D34" s="35"/>
      <c r="E34" s="35" t="s">
        <v>109</v>
      </c>
      <c r="F34" s="35" t="s">
        <v>76</v>
      </c>
      <c r="G34" s="35" t="s">
        <v>77</v>
      </c>
      <c r="H34" s="35"/>
      <c r="I34" s="35" t="s">
        <v>110</v>
      </c>
      <c r="J34" s="47" t="s">
        <v>76</v>
      </c>
      <c r="K34" s="35" t="s">
        <v>77</v>
      </c>
      <c r="L34" s="35"/>
      <c r="M34" s="36"/>
      <c r="N34" s="36"/>
      <c r="O34" s="36"/>
    </row>
    <row r="35" ht="15.75" customHeight="1">
      <c r="A35" s="35" t="s">
        <v>111</v>
      </c>
      <c r="B35" s="44">
        <f>G91</f>
        <v>58</v>
      </c>
      <c r="C35" s="45">
        <f>I91</f>
        <v>11165</v>
      </c>
      <c r="D35" s="35"/>
      <c r="E35" s="35" t="s">
        <v>112</v>
      </c>
      <c r="F35" s="44">
        <f>G92</f>
        <v>58</v>
      </c>
      <c r="G35" s="45">
        <f>I92</f>
        <v>15950</v>
      </c>
      <c r="H35" s="35"/>
      <c r="I35" s="35" t="s">
        <v>113</v>
      </c>
      <c r="J35" s="44">
        <f>G93</f>
        <v>58</v>
      </c>
      <c r="K35" s="45">
        <f>I93</f>
        <v>14355</v>
      </c>
      <c r="L35" s="35"/>
      <c r="M35" s="36"/>
      <c r="N35" s="36"/>
      <c r="O35" s="36"/>
    </row>
    <row r="36" ht="15.75" customHeight="1">
      <c r="A36" s="35" t="s">
        <v>114</v>
      </c>
      <c r="B36" s="44">
        <f t="shared" ref="B36:B40" si="37">G95</f>
        <v>0</v>
      </c>
      <c r="C36" s="45">
        <f t="shared" ref="C36:C40" si="38">I95</f>
        <v>0</v>
      </c>
      <c r="D36" s="35"/>
      <c r="E36" s="35" t="s">
        <v>114</v>
      </c>
      <c r="F36" s="44">
        <f t="shared" ref="F36:F40" si="39">G95</f>
        <v>0</v>
      </c>
      <c r="G36" s="45">
        <f t="shared" ref="G36:G40" si="40">I95</f>
        <v>0</v>
      </c>
      <c r="H36" s="35"/>
      <c r="I36" s="35" t="s">
        <v>114</v>
      </c>
      <c r="J36" s="44">
        <f t="shared" ref="J36:J40" si="41">G95</f>
        <v>0</v>
      </c>
      <c r="K36" s="45">
        <f t="shared" ref="K36:K40" si="42">I95</f>
        <v>0</v>
      </c>
      <c r="L36" s="35"/>
      <c r="M36" s="36"/>
      <c r="N36" s="36"/>
      <c r="O36" s="36"/>
    </row>
    <row r="37" ht="15.75" customHeight="1">
      <c r="A37" s="35" t="s">
        <v>115</v>
      </c>
      <c r="B37" s="44">
        <f t="shared" si="37"/>
        <v>0</v>
      </c>
      <c r="C37" s="45">
        <f t="shared" si="38"/>
        <v>0</v>
      </c>
      <c r="D37" s="35"/>
      <c r="E37" s="35" t="s">
        <v>115</v>
      </c>
      <c r="F37" s="44">
        <f t="shared" si="39"/>
        <v>0</v>
      </c>
      <c r="G37" s="45">
        <f t="shared" si="40"/>
        <v>0</v>
      </c>
      <c r="H37" s="35"/>
      <c r="I37" s="35" t="s">
        <v>115</v>
      </c>
      <c r="J37" s="44">
        <f t="shared" si="41"/>
        <v>0</v>
      </c>
      <c r="K37" s="45">
        <f t="shared" si="42"/>
        <v>0</v>
      </c>
      <c r="L37" s="35"/>
      <c r="M37" s="36"/>
      <c r="N37" s="36"/>
      <c r="O37" s="36"/>
    </row>
    <row r="38" ht="15.75" customHeight="1">
      <c r="A38" s="35" t="s">
        <v>116</v>
      </c>
      <c r="B38" s="44">
        <f t="shared" si="37"/>
        <v>0</v>
      </c>
      <c r="C38" s="45">
        <f t="shared" si="38"/>
        <v>0</v>
      </c>
      <c r="D38" s="35"/>
      <c r="E38" s="35" t="s">
        <v>116</v>
      </c>
      <c r="F38" s="44">
        <f t="shared" si="39"/>
        <v>0</v>
      </c>
      <c r="G38" s="45">
        <f t="shared" si="40"/>
        <v>0</v>
      </c>
      <c r="H38" s="35"/>
      <c r="I38" s="35" t="s">
        <v>116</v>
      </c>
      <c r="J38" s="44">
        <f t="shared" si="41"/>
        <v>0</v>
      </c>
      <c r="K38" s="45">
        <f t="shared" si="42"/>
        <v>0</v>
      </c>
      <c r="L38" s="35"/>
      <c r="M38" s="36"/>
      <c r="N38" s="36"/>
      <c r="O38" s="36"/>
    </row>
    <row r="39" ht="15.75" customHeight="1">
      <c r="A39" s="35" t="s">
        <v>117</v>
      </c>
      <c r="B39" s="44">
        <f t="shared" si="37"/>
        <v>0</v>
      </c>
      <c r="C39" s="45">
        <f t="shared" si="38"/>
        <v>0</v>
      </c>
      <c r="D39" s="35"/>
      <c r="E39" s="35" t="s">
        <v>117</v>
      </c>
      <c r="F39" s="44">
        <f t="shared" si="39"/>
        <v>0</v>
      </c>
      <c r="G39" s="45">
        <f t="shared" si="40"/>
        <v>0</v>
      </c>
      <c r="H39" s="35"/>
      <c r="I39" s="35" t="s">
        <v>117</v>
      </c>
      <c r="J39" s="44">
        <f t="shared" si="41"/>
        <v>0</v>
      </c>
      <c r="K39" s="45">
        <f t="shared" si="42"/>
        <v>0</v>
      </c>
      <c r="L39" s="35"/>
      <c r="M39" s="36"/>
      <c r="N39" s="36"/>
      <c r="O39" s="36"/>
    </row>
    <row r="40" ht="15.75" customHeight="1">
      <c r="A40" s="35" t="s">
        <v>118</v>
      </c>
      <c r="B40" s="44">
        <f t="shared" si="37"/>
        <v>0</v>
      </c>
      <c r="C40" s="45">
        <f t="shared" si="38"/>
        <v>0</v>
      </c>
      <c r="D40" s="35"/>
      <c r="E40" s="35" t="s">
        <v>118</v>
      </c>
      <c r="F40" s="44">
        <f t="shared" si="39"/>
        <v>0</v>
      </c>
      <c r="G40" s="45">
        <f t="shared" si="40"/>
        <v>0</v>
      </c>
      <c r="H40" s="35"/>
      <c r="I40" s="35" t="s">
        <v>118</v>
      </c>
      <c r="J40" s="44">
        <f t="shared" si="41"/>
        <v>0</v>
      </c>
      <c r="K40" s="45">
        <f t="shared" si="42"/>
        <v>0</v>
      </c>
      <c r="L40" s="35"/>
      <c r="M40" s="36"/>
      <c r="N40" s="36"/>
      <c r="O40" s="36"/>
    </row>
    <row r="41" ht="15.75" customHeight="1">
      <c r="A41" s="35" t="s">
        <v>119</v>
      </c>
      <c r="B41" s="44">
        <f t="shared" ref="B41:B42" si="43">G101</f>
        <v>20</v>
      </c>
      <c r="C41" s="45">
        <f t="shared" ref="C41:C42" si="44">I101</f>
        <v>365.2</v>
      </c>
      <c r="D41" s="35"/>
      <c r="E41" s="35" t="s">
        <v>119</v>
      </c>
      <c r="F41" s="44">
        <f t="shared" ref="F41:F42" si="45">G101</f>
        <v>20</v>
      </c>
      <c r="G41" s="45">
        <f t="shared" ref="G41:G42" si="46">I101</f>
        <v>365.2</v>
      </c>
      <c r="H41" s="35"/>
      <c r="I41" s="35" t="s">
        <v>119</v>
      </c>
      <c r="J41" s="44">
        <f t="shared" ref="J41:J42" si="47">G101</f>
        <v>20</v>
      </c>
      <c r="K41" s="45">
        <f t="shared" ref="K41:K42" si="48">I101</f>
        <v>365.2</v>
      </c>
      <c r="L41" s="35"/>
      <c r="M41" s="36"/>
      <c r="N41" s="36"/>
      <c r="O41" s="36"/>
    </row>
    <row r="42" ht="15.75" customHeight="1">
      <c r="A42" s="35" t="s">
        <v>120</v>
      </c>
      <c r="B42" s="44">
        <f t="shared" si="43"/>
        <v>8</v>
      </c>
      <c r="C42" s="45">
        <f t="shared" si="44"/>
        <v>61.6</v>
      </c>
      <c r="D42" s="35"/>
      <c r="E42" s="35" t="s">
        <v>120</v>
      </c>
      <c r="F42" s="44">
        <f t="shared" si="45"/>
        <v>8</v>
      </c>
      <c r="G42" s="45">
        <f t="shared" si="46"/>
        <v>61.6</v>
      </c>
      <c r="H42" s="35"/>
      <c r="I42" s="35" t="s">
        <v>120</v>
      </c>
      <c r="J42" s="44">
        <f t="shared" si="47"/>
        <v>8</v>
      </c>
      <c r="K42" s="45">
        <f t="shared" si="48"/>
        <v>61.6</v>
      </c>
      <c r="L42" s="35"/>
      <c r="M42" s="36"/>
      <c r="N42" s="36"/>
      <c r="O42" s="36"/>
    </row>
    <row r="43" ht="15.75" customHeight="1">
      <c r="A43" s="35" t="s">
        <v>89</v>
      </c>
      <c r="B43" s="44">
        <f t="shared" ref="B43:B47" si="49">G108</f>
        <v>6</v>
      </c>
      <c r="C43" s="45">
        <f t="shared" ref="C43:C47" si="50">I108</f>
        <v>442.2</v>
      </c>
      <c r="D43" s="35"/>
      <c r="E43" s="35" t="s">
        <v>89</v>
      </c>
      <c r="F43" s="44">
        <f t="shared" ref="F43:F47" si="51">G108</f>
        <v>6</v>
      </c>
      <c r="G43" s="45">
        <f t="shared" ref="G43:G47" si="52">I108</f>
        <v>442.2</v>
      </c>
      <c r="H43" s="35"/>
      <c r="I43" s="35" t="s">
        <v>89</v>
      </c>
      <c r="J43" s="44">
        <f t="shared" ref="J43:J47" si="53">G108</f>
        <v>6</v>
      </c>
      <c r="K43" s="45">
        <f t="shared" ref="K43:K47" si="54">I108</f>
        <v>442.2</v>
      </c>
      <c r="L43" s="35"/>
      <c r="M43" s="36"/>
      <c r="N43" s="36"/>
      <c r="O43" s="36"/>
    </row>
    <row r="44" ht="15.75" customHeight="1">
      <c r="A44" s="35" t="s">
        <v>90</v>
      </c>
      <c r="B44" s="44">
        <f t="shared" si="49"/>
        <v>0</v>
      </c>
      <c r="C44" s="45">
        <f t="shared" si="50"/>
        <v>0</v>
      </c>
      <c r="D44" s="35"/>
      <c r="E44" s="35" t="s">
        <v>90</v>
      </c>
      <c r="F44" s="44">
        <f t="shared" si="51"/>
        <v>0</v>
      </c>
      <c r="G44" s="45">
        <f t="shared" si="52"/>
        <v>0</v>
      </c>
      <c r="H44" s="35"/>
      <c r="I44" s="35" t="s">
        <v>90</v>
      </c>
      <c r="J44" s="44">
        <f t="shared" si="53"/>
        <v>0</v>
      </c>
      <c r="K44" s="45">
        <f t="shared" si="54"/>
        <v>0</v>
      </c>
      <c r="L44" s="35"/>
      <c r="M44" s="36"/>
      <c r="N44" s="36"/>
      <c r="O44" s="36"/>
    </row>
    <row r="45" ht="15.75" customHeight="1">
      <c r="A45" s="35" t="s">
        <v>93</v>
      </c>
      <c r="B45" s="44">
        <f t="shared" si="49"/>
        <v>2</v>
      </c>
      <c r="C45" s="45">
        <f t="shared" si="50"/>
        <v>63.8</v>
      </c>
      <c r="D45" s="35"/>
      <c r="E45" s="35" t="s">
        <v>93</v>
      </c>
      <c r="F45" s="44">
        <f t="shared" si="51"/>
        <v>2</v>
      </c>
      <c r="G45" s="45">
        <f t="shared" si="52"/>
        <v>63.8</v>
      </c>
      <c r="H45" s="35"/>
      <c r="I45" s="35" t="s">
        <v>93</v>
      </c>
      <c r="J45" s="44">
        <f t="shared" si="53"/>
        <v>2</v>
      </c>
      <c r="K45" s="45">
        <f t="shared" si="54"/>
        <v>63.8</v>
      </c>
      <c r="L45" s="35"/>
      <c r="M45" s="36"/>
      <c r="N45" s="36"/>
      <c r="O45" s="36"/>
    </row>
    <row r="46" ht="15.75" customHeight="1">
      <c r="A46" s="35" t="s">
        <v>95</v>
      </c>
      <c r="B46" s="44">
        <f t="shared" si="49"/>
        <v>1</v>
      </c>
      <c r="C46" s="45">
        <f t="shared" si="50"/>
        <v>11</v>
      </c>
      <c r="D46" s="35"/>
      <c r="E46" s="35" t="s">
        <v>95</v>
      </c>
      <c r="F46" s="44">
        <f t="shared" si="51"/>
        <v>1</v>
      </c>
      <c r="G46" s="45">
        <f t="shared" si="52"/>
        <v>11</v>
      </c>
      <c r="H46" s="35"/>
      <c r="I46" s="35" t="s">
        <v>95</v>
      </c>
      <c r="J46" s="44">
        <f t="shared" si="53"/>
        <v>1</v>
      </c>
      <c r="K46" s="45">
        <f t="shared" si="54"/>
        <v>11</v>
      </c>
      <c r="L46" s="35"/>
      <c r="M46" s="36"/>
      <c r="N46" s="36"/>
      <c r="O46" s="36"/>
    </row>
    <row r="47" ht="15.75" customHeight="1">
      <c r="A47" s="35" t="s">
        <v>96</v>
      </c>
      <c r="B47" s="44">
        <f t="shared" si="49"/>
        <v>2</v>
      </c>
      <c r="C47" s="45">
        <f t="shared" si="50"/>
        <v>33</v>
      </c>
      <c r="D47" s="35"/>
      <c r="E47" s="35" t="s">
        <v>96</v>
      </c>
      <c r="F47" s="44">
        <f t="shared" si="51"/>
        <v>2</v>
      </c>
      <c r="G47" s="45">
        <f t="shared" si="52"/>
        <v>33</v>
      </c>
      <c r="H47" s="35"/>
      <c r="I47" s="35" t="s">
        <v>96</v>
      </c>
      <c r="J47" s="44">
        <f t="shared" si="53"/>
        <v>2</v>
      </c>
      <c r="K47" s="45">
        <f t="shared" si="54"/>
        <v>33</v>
      </c>
      <c r="L47" s="35"/>
      <c r="M47" s="36"/>
      <c r="N47" s="36"/>
      <c r="O47" s="36"/>
    </row>
    <row r="48" ht="15.75" customHeight="1">
      <c r="A48" s="35" t="s">
        <v>121</v>
      </c>
      <c r="B48" s="44">
        <f>G104</f>
        <v>1</v>
      </c>
      <c r="C48" s="45">
        <f>I104</f>
        <v>300</v>
      </c>
      <c r="D48" s="35"/>
      <c r="E48" s="35" t="s">
        <v>121</v>
      </c>
      <c r="F48" s="44">
        <f>G104</f>
        <v>1</v>
      </c>
      <c r="G48" s="45">
        <f>I104</f>
        <v>300</v>
      </c>
      <c r="H48" s="35"/>
      <c r="I48" s="35" t="s">
        <v>121</v>
      </c>
      <c r="J48" s="44">
        <f>G104</f>
        <v>1</v>
      </c>
      <c r="K48" s="45">
        <f>I104</f>
        <v>300</v>
      </c>
      <c r="L48" s="35"/>
      <c r="M48" s="36"/>
      <c r="N48" s="36"/>
      <c r="O48" s="36"/>
    </row>
    <row r="49" ht="15.75" customHeight="1">
      <c r="A49" s="35" t="s">
        <v>99</v>
      </c>
      <c r="B49" s="44">
        <f>G152</f>
        <v>1</v>
      </c>
      <c r="C49" s="45">
        <f>I152</f>
        <v>500</v>
      </c>
      <c r="D49" s="35"/>
      <c r="E49" s="35" t="s">
        <v>99</v>
      </c>
      <c r="F49" s="44">
        <f>G152</f>
        <v>1</v>
      </c>
      <c r="G49" s="45">
        <f>I152</f>
        <v>500</v>
      </c>
      <c r="H49" s="35"/>
      <c r="I49" s="35" t="s">
        <v>99</v>
      </c>
      <c r="J49" s="44">
        <f>G152</f>
        <v>1</v>
      </c>
      <c r="K49" s="45">
        <f>I152</f>
        <v>500</v>
      </c>
      <c r="L49" s="35"/>
      <c r="M49" s="36"/>
      <c r="N49" s="36"/>
      <c r="O49" s="36"/>
    </row>
    <row r="50" ht="15.75" customHeight="1">
      <c r="A50" s="35" t="s">
        <v>122</v>
      </c>
      <c r="B50" s="44">
        <f>G136</f>
        <v>58</v>
      </c>
      <c r="C50" s="45">
        <f>I136</f>
        <v>8700</v>
      </c>
      <c r="D50" s="35"/>
      <c r="E50" s="35" t="s">
        <v>122</v>
      </c>
      <c r="F50" s="44">
        <f>G136</f>
        <v>58</v>
      </c>
      <c r="G50" s="45">
        <f>I136</f>
        <v>8700</v>
      </c>
      <c r="H50" s="35"/>
      <c r="I50" s="35" t="s">
        <v>123</v>
      </c>
      <c r="J50" s="44">
        <f>G137</f>
        <v>58</v>
      </c>
      <c r="K50" s="45">
        <f>I137</f>
        <v>11600</v>
      </c>
      <c r="L50" s="35"/>
      <c r="M50" s="36"/>
      <c r="N50" s="36"/>
      <c r="O50" s="36"/>
    </row>
    <row r="51" ht="15.75" customHeight="1">
      <c r="A51" s="35" t="s">
        <v>101</v>
      </c>
      <c r="B51" s="44">
        <f t="shared" ref="B51:B52" si="55">G147</f>
        <v>0</v>
      </c>
      <c r="C51" s="45">
        <f t="shared" ref="C51:C52" si="56">I147</f>
        <v>0</v>
      </c>
      <c r="D51" s="35"/>
      <c r="E51" s="35" t="s">
        <v>101</v>
      </c>
      <c r="F51" s="44">
        <f t="shared" ref="F51:F52" si="57">G147</f>
        <v>0</v>
      </c>
      <c r="G51" s="45">
        <f t="shared" ref="G51:G52" si="58">I147</f>
        <v>0</v>
      </c>
      <c r="H51" s="35"/>
      <c r="I51" s="35" t="s">
        <v>101</v>
      </c>
      <c r="J51" s="44">
        <f t="shared" ref="J51:J52" si="59">G147</f>
        <v>0</v>
      </c>
      <c r="K51" s="45">
        <f t="shared" ref="K51:K52" si="60">I147</f>
        <v>0</v>
      </c>
      <c r="L51" s="35"/>
      <c r="M51" s="36"/>
      <c r="N51" s="36"/>
      <c r="O51" s="36"/>
    </row>
    <row r="52" ht="15.75" customHeight="1">
      <c r="A52" s="35" t="s">
        <v>102</v>
      </c>
      <c r="B52" s="44">
        <f t="shared" si="55"/>
        <v>0</v>
      </c>
      <c r="C52" s="45">
        <f t="shared" si="56"/>
        <v>0</v>
      </c>
      <c r="D52" s="35"/>
      <c r="E52" s="35" t="s">
        <v>102</v>
      </c>
      <c r="F52" s="44">
        <f t="shared" si="57"/>
        <v>0</v>
      </c>
      <c r="G52" s="45">
        <f t="shared" si="58"/>
        <v>0</v>
      </c>
      <c r="H52" s="35"/>
      <c r="I52" s="35" t="s">
        <v>102</v>
      </c>
      <c r="J52" s="44">
        <f t="shared" si="59"/>
        <v>0</v>
      </c>
      <c r="K52" s="45">
        <f t="shared" si="60"/>
        <v>0</v>
      </c>
      <c r="L52" s="35"/>
      <c r="M52" s="36"/>
      <c r="N52" s="36"/>
      <c r="O52" s="36"/>
    </row>
    <row r="53" ht="15.75" customHeight="1">
      <c r="A53" s="35" t="s">
        <v>103</v>
      </c>
      <c r="B53" s="44">
        <f>G138</f>
        <v>3</v>
      </c>
      <c r="C53" s="45">
        <f>I138</f>
        <v>750</v>
      </c>
      <c r="D53" s="35"/>
      <c r="E53" s="35" t="s">
        <v>103</v>
      </c>
      <c r="F53" s="44">
        <f>G138</f>
        <v>3</v>
      </c>
      <c r="G53" s="45">
        <f>I138</f>
        <v>750</v>
      </c>
      <c r="H53" s="35"/>
      <c r="I53" s="35" t="s">
        <v>103</v>
      </c>
      <c r="J53" s="44">
        <f>G138</f>
        <v>3</v>
      </c>
      <c r="K53" s="45">
        <f>I138</f>
        <v>750</v>
      </c>
      <c r="L53" s="35"/>
      <c r="M53" s="36"/>
      <c r="N53" s="36"/>
      <c r="O53" s="36"/>
    </row>
    <row r="54" ht="15.75" customHeight="1">
      <c r="A54" s="35" t="s">
        <v>105</v>
      </c>
      <c r="B54" s="44">
        <f t="shared" ref="B54:B55" si="61">G153</f>
        <v>1</v>
      </c>
      <c r="C54" s="45">
        <f t="shared" ref="C54:C55" si="62">I153</f>
        <v>220</v>
      </c>
      <c r="D54" s="35"/>
      <c r="E54" s="35" t="s">
        <v>105</v>
      </c>
      <c r="F54" s="44">
        <f t="shared" ref="F54:F55" si="63">G153</f>
        <v>1</v>
      </c>
      <c r="G54" s="45">
        <f t="shared" ref="G54:G55" si="64">I153</f>
        <v>220</v>
      </c>
      <c r="H54" s="35"/>
      <c r="I54" s="35" t="s">
        <v>105</v>
      </c>
      <c r="J54" s="44">
        <f t="shared" ref="J54:J55" si="65">G153</f>
        <v>1</v>
      </c>
      <c r="K54" s="45">
        <f t="shared" ref="K54:K55" si="66">I153</f>
        <v>220</v>
      </c>
      <c r="L54" s="35"/>
      <c r="M54" s="36"/>
      <c r="N54" s="36"/>
      <c r="O54" s="36"/>
    </row>
    <row r="55" ht="15.75" customHeight="1">
      <c r="A55" s="35" t="s">
        <v>107</v>
      </c>
      <c r="B55" s="44">
        <f t="shared" si="61"/>
        <v>1</v>
      </c>
      <c r="C55" s="45">
        <f t="shared" si="62"/>
        <v>55</v>
      </c>
      <c r="D55" s="35"/>
      <c r="E55" s="35" t="s">
        <v>107</v>
      </c>
      <c r="F55" s="44">
        <f t="shared" si="63"/>
        <v>1</v>
      </c>
      <c r="G55" s="45">
        <f t="shared" si="64"/>
        <v>55</v>
      </c>
      <c r="H55" s="35"/>
      <c r="I55" s="35" t="s">
        <v>107</v>
      </c>
      <c r="J55" s="44">
        <f t="shared" si="65"/>
        <v>1</v>
      </c>
      <c r="K55" s="45">
        <f t="shared" si="66"/>
        <v>55</v>
      </c>
      <c r="L55" s="35"/>
      <c r="M55" s="36"/>
      <c r="N55" s="36"/>
      <c r="O55" s="36"/>
    </row>
    <row r="56" ht="15.75" customHeight="1">
      <c r="A56" s="35"/>
      <c r="B56" s="35" t="s">
        <v>29</v>
      </c>
      <c r="C56" s="45">
        <f>SUM(C35:C55)</f>
        <v>22666.8</v>
      </c>
      <c r="D56" s="35"/>
      <c r="E56" s="35"/>
      <c r="F56" s="35" t="s">
        <v>29</v>
      </c>
      <c r="G56" s="45">
        <f>SUM(G35:G55)</f>
        <v>27451.8</v>
      </c>
      <c r="H56" s="35"/>
      <c r="I56" s="35"/>
      <c r="J56" s="47" t="s">
        <v>29</v>
      </c>
      <c r="K56" s="45">
        <f>SUM(K35:K55)</f>
        <v>28756.8</v>
      </c>
      <c r="L56" s="35"/>
      <c r="M56" s="36"/>
      <c r="N56" s="36"/>
      <c r="O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47"/>
      <c r="K57" s="35"/>
      <c r="L57" s="35"/>
      <c r="M57" s="36"/>
      <c r="N57" s="36"/>
      <c r="O57" s="36"/>
    </row>
    <row r="58" ht="15.75" customHeight="1">
      <c r="A58" s="35"/>
      <c r="B58" s="35" t="s">
        <v>124</v>
      </c>
      <c r="C58" s="35" t="s">
        <v>125</v>
      </c>
      <c r="D58" s="35" t="s">
        <v>126</v>
      </c>
      <c r="E58" s="35" t="s">
        <v>127</v>
      </c>
      <c r="F58" s="35" t="s">
        <v>128</v>
      </c>
      <c r="G58" s="35" t="s">
        <v>129</v>
      </c>
      <c r="H58" s="35"/>
      <c r="I58" s="35"/>
      <c r="J58" s="47"/>
      <c r="K58" s="35"/>
      <c r="L58" s="35"/>
      <c r="M58" s="36"/>
      <c r="N58" s="36"/>
      <c r="O58" s="36"/>
    </row>
    <row r="59" ht="15.75" customHeight="1">
      <c r="A59" s="35" t="s">
        <v>75</v>
      </c>
      <c r="B59" s="45">
        <f>C32</f>
        <v>14443.05</v>
      </c>
      <c r="C59" s="45">
        <f>D171</f>
        <v>1277.8</v>
      </c>
      <c r="D59" s="45">
        <f>D177</f>
        <v>0</v>
      </c>
      <c r="E59" s="45">
        <f t="shared" ref="E59:E64" si="67">SUM(B59:D59)</f>
        <v>15720.85</v>
      </c>
      <c r="F59" s="45">
        <f>E59/(1-B8)</f>
        <v>26645.50847</v>
      </c>
      <c r="G59" s="45">
        <f>F59/B2</f>
        <v>459.4053185</v>
      </c>
      <c r="H59" s="35"/>
      <c r="I59" s="35"/>
      <c r="J59" s="47"/>
      <c r="K59" s="35"/>
      <c r="L59" s="35"/>
      <c r="M59" s="36"/>
      <c r="N59" s="36"/>
      <c r="O59" s="36"/>
    </row>
    <row r="60" ht="15.75" customHeight="1">
      <c r="A60" s="35" t="s">
        <v>78</v>
      </c>
      <c r="B60" s="45">
        <f>G32</f>
        <v>14443.05</v>
      </c>
      <c r="C60" s="45">
        <f>D171</f>
        <v>1277.8</v>
      </c>
      <c r="D60" s="45">
        <f>D177</f>
        <v>0</v>
      </c>
      <c r="E60" s="45">
        <f t="shared" si="67"/>
        <v>15720.85</v>
      </c>
      <c r="F60" s="45">
        <f>E60/(1-B8)</f>
        <v>26645.50847</v>
      </c>
      <c r="G60" s="45">
        <f>F60/B2</f>
        <v>459.4053185</v>
      </c>
      <c r="H60" s="35"/>
      <c r="I60" s="35"/>
      <c r="J60" s="47"/>
      <c r="K60" s="35"/>
      <c r="L60" s="35"/>
      <c r="M60" s="36"/>
      <c r="N60" s="36"/>
      <c r="O60" s="36"/>
    </row>
    <row r="61" ht="15.75" customHeight="1">
      <c r="A61" s="35" t="s">
        <v>130</v>
      </c>
      <c r="B61" s="45">
        <f>K32</f>
        <v>17426.8</v>
      </c>
      <c r="C61" s="45">
        <f>D171</f>
        <v>1277.8</v>
      </c>
      <c r="D61" s="45">
        <f>D177</f>
        <v>0</v>
      </c>
      <c r="E61" s="45">
        <f t="shared" si="67"/>
        <v>18704.6</v>
      </c>
      <c r="F61" s="45">
        <f>E61/(1-B8)</f>
        <v>31702.71186</v>
      </c>
      <c r="G61" s="45">
        <f>F61/B2</f>
        <v>546.5984804</v>
      </c>
      <c r="H61" s="35"/>
      <c r="I61" s="35"/>
      <c r="J61" s="47"/>
      <c r="K61" s="35"/>
      <c r="L61" s="35"/>
      <c r="M61" s="36"/>
      <c r="N61" s="36"/>
      <c r="O61" s="36"/>
    </row>
    <row r="62" ht="15.75" customHeight="1">
      <c r="A62" s="35" t="s">
        <v>131</v>
      </c>
      <c r="B62" s="45">
        <f>C56</f>
        <v>22666.8</v>
      </c>
      <c r="C62" s="45">
        <f>D171</f>
        <v>1277.8</v>
      </c>
      <c r="D62" s="45">
        <f>D177</f>
        <v>0</v>
      </c>
      <c r="E62" s="45">
        <f t="shared" si="67"/>
        <v>23944.6</v>
      </c>
      <c r="F62" s="45">
        <f>E62/(1-B8)</f>
        <v>40584.0678</v>
      </c>
      <c r="G62" s="45">
        <f>F62/B2</f>
        <v>699.7253068</v>
      </c>
      <c r="H62" s="35"/>
      <c r="I62" s="35"/>
      <c r="J62" s="47"/>
      <c r="K62" s="35"/>
      <c r="L62" s="35"/>
      <c r="M62" s="36"/>
      <c r="N62" s="36"/>
      <c r="O62" s="36"/>
    </row>
    <row r="63" ht="15.75" customHeight="1">
      <c r="A63" s="35" t="s">
        <v>109</v>
      </c>
      <c r="B63" s="45">
        <f>G56</f>
        <v>27451.8</v>
      </c>
      <c r="C63" s="45">
        <f>D171</f>
        <v>1277.8</v>
      </c>
      <c r="D63" s="45">
        <f>D177</f>
        <v>0</v>
      </c>
      <c r="E63" s="45">
        <f t="shared" si="67"/>
        <v>28729.6</v>
      </c>
      <c r="F63" s="45">
        <f>E63/(1-B8)</f>
        <v>48694.23729</v>
      </c>
      <c r="G63" s="45">
        <f>F63/B2</f>
        <v>839.5558153</v>
      </c>
      <c r="H63" s="35"/>
      <c r="I63" s="35"/>
      <c r="J63" s="47"/>
      <c r="K63" s="35"/>
      <c r="L63" s="35"/>
      <c r="M63" s="36"/>
      <c r="N63" s="36"/>
      <c r="O63" s="36"/>
    </row>
    <row r="64" ht="15.75" customHeight="1">
      <c r="A64" s="35" t="s">
        <v>110</v>
      </c>
      <c r="B64" s="45">
        <f>K56</f>
        <v>28756.8</v>
      </c>
      <c r="C64" s="45">
        <f>D171</f>
        <v>1277.8</v>
      </c>
      <c r="D64" s="45">
        <f>D177</f>
        <v>0</v>
      </c>
      <c r="E64" s="45">
        <f t="shared" si="67"/>
        <v>30034.6</v>
      </c>
      <c r="F64" s="45">
        <f>E64/(1-B8)</f>
        <v>50906.10169</v>
      </c>
      <c r="G64" s="45">
        <f>F64/B2</f>
        <v>877.6914085</v>
      </c>
      <c r="H64" s="35"/>
      <c r="I64" s="35"/>
      <c r="J64" s="47"/>
      <c r="K64" s="35"/>
      <c r="L64" s="35"/>
      <c r="M64" s="36"/>
      <c r="N64" s="36"/>
      <c r="O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47"/>
      <c r="K65" s="35"/>
      <c r="L65" s="35"/>
      <c r="M65" s="36"/>
      <c r="N65" s="36"/>
      <c r="O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47"/>
      <c r="K66" s="35"/>
      <c r="L66" s="35"/>
      <c r="M66" s="36"/>
      <c r="N66" s="36"/>
      <c r="O66" s="36"/>
    </row>
    <row r="67" ht="15.75" customHeight="1">
      <c r="A67" s="48" t="s">
        <v>132</v>
      </c>
      <c r="B67" s="35"/>
      <c r="C67" s="35"/>
      <c r="D67" s="35"/>
      <c r="E67" s="35"/>
      <c r="F67" s="35"/>
      <c r="G67" s="35"/>
      <c r="H67" s="35"/>
      <c r="I67" s="35"/>
      <c r="J67" s="47"/>
      <c r="K67" s="35"/>
      <c r="L67" s="35"/>
      <c r="M67" s="36"/>
      <c r="N67" s="36"/>
      <c r="O67" s="36"/>
    </row>
    <row r="68" ht="15.75" customHeight="1">
      <c r="A68" s="48" t="s">
        <v>38</v>
      </c>
      <c r="B68" s="35"/>
      <c r="C68" s="35"/>
      <c r="D68" s="35"/>
      <c r="E68" s="35"/>
      <c r="F68" s="35"/>
      <c r="G68" s="35"/>
      <c r="H68" s="35"/>
      <c r="I68" s="35"/>
      <c r="J68" s="47"/>
      <c r="K68" s="35"/>
      <c r="L68" s="35"/>
      <c r="M68" s="36"/>
      <c r="N68" s="36"/>
      <c r="O68" s="36"/>
    </row>
    <row r="69" ht="15.75" customHeight="1">
      <c r="A69" s="20" t="s">
        <v>55</v>
      </c>
      <c r="B69" s="20" t="s">
        <v>133</v>
      </c>
      <c r="C69" s="20" t="s">
        <v>134</v>
      </c>
      <c r="D69" s="20" t="s">
        <v>135</v>
      </c>
      <c r="E69" s="20" t="s">
        <v>136</v>
      </c>
      <c r="F69" s="20" t="s">
        <v>76</v>
      </c>
      <c r="G69" s="49" t="s">
        <v>137</v>
      </c>
      <c r="H69" s="50" t="s">
        <v>138</v>
      </c>
      <c r="I69" s="50" t="s">
        <v>29</v>
      </c>
      <c r="J69" s="51"/>
      <c r="K69" s="36"/>
      <c r="L69" s="36"/>
      <c r="M69" s="36"/>
      <c r="N69" s="36"/>
      <c r="O69" s="36"/>
    </row>
    <row r="70" ht="15.75" customHeight="1">
      <c r="A70" s="38" t="s">
        <v>139</v>
      </c>
      <c r="B70" s="38" t="s">
        <v>140</v>
      </c>
      <c r="C70" s="37">
        <v>0.328</v>
      </c>
      <c r="D70" s="24">
        <v>37.5</v>
      </c>
      <c r="E70" s="38" t="s">
        <v>141</v>
      </c>
      <c r="F70" s="41">
        <f>(B2)/C70</f>
        <v>176.8292683</v>
      </c>
      <c r="G70" s="41">
        <f t="shared" ref="G70:G72" si="68">ROUNDUP(F70,0)</f>
        <v>177</v>
      </c>
      <c r="H70" s="42">
        <v>0.1</v>
      </c>
      <c r="I70" s="52">
        <f>(G70*D70)*(1+H70)</f>
        <v>7301.25</v>
      </c>
      <c r="J70" s="51"/>
      <c r="K70" s="36"/>
      <c r="L70" s="36"/>
      <c r="M70" s="36"/>
      <c r="N70" s="36"/>
      <c r="O70" s="36"/>
    </row>
    <row r="71" ht="15.75" customHeight="1">
      <c r="A71" s="38" t="s">
        <v>142</v>
      </c>
      <c r="B71" s="38" t="s">
        <v>143</v>
      </c>
      <c r="C71" s="37">
        <v>25.0</v>
      </c>
      <c r="D71" s="24">
        <v>51.5</v>
      </c>
      <c r="E71" s="38" t="s">
        <v>144</v>
      </c>
      <c r="F71" s="41">
        <f>(D2+D3)/C71</f>
        <v>0</v>
      </c>
      <c r="G71" s="41">
        <f t="shared" si="68"/>
        <v>0</v>
      </c>
      <c r="H71" s="42">
        <v>0.1</v>
      </c>
      <c r="I71" s="52">
        <f t="shared" ref="I71:I72" si="69">(D71*G71)*(1+H71)</f>
        <v>0</v>
      </c>
      <c r="J71" s="51"/>
      <c r="K71" s="36"/>
      <c r="L71" s="36"/>
      <c r="M71" s="36"/>
      <c r="N71" s="36"/>
      <c r="O71" s="36"/>
    </row>
    <row r="72" ht="15.75" customHeight="1">
      <c r="A72" s="53" t="s">
        <v>145</v>
      </c>
      <c r="B72" s="44" t="s">
        <v>146</v>
      </c>
      <c r="C72" s="53">
        <v>120.0</v>
      </c>
      <c r="D72" s="54">
        <v>51.5</v>
      </c>
      <c r="E72" s="53" t="s">
        <v>144</v>
      </c>
      <c r="F72" s="41">
        <f>(D4+D5)/C72</f>
        <v>0</v>
      </c>
      <c r="G72" s="41">
        <f t="shared" si="68"/>
        <v>0</v>
      </c>
      <c r="H72" s="42">
        <v>0.1</v>
      </c>
      <c r="I72" s="52">
        <f t="shared" si="69"/>
        <v>0</v>
      </c>
    </row>
    <row r="73" ht="15.75" customHeight="1">
      <c r="A73" s="36"/>
      <c r="B73" s="36"/>
      <c r="C73" s="36"/>
      <c r="D73" s="36"/>
      <c r="E73" s="36"/>
      <c r="F73" s="55"/>
      <c r="G73" s="55"/>
      <c r="H73" s="56"/>
      <c r="I73" s="28"/>
      <c r="J73" s="51"/>
      <c r="K73" s="36"/>
      <c r="L73" s="36"/>
      <c r="M73" s="36"/>
      <c r="N73" s="36"/>
      <c r="O73" s="36"/>
    </row>
    <row r="74" ht="15.75" customHeight="1">
      <c r="A74" s="53" t="s">
        <v>147</v>
      </c>
      <c r="B74" s="53" t="s">
        <v>140</v>
      </c>
      <c r="C74" s="53">
        <v>0.328</v>
      </c>
      <c r="D74" s="54">
        <v>37.5</v>
      </c>
      <c r="E74" s="53" t="s">
        <v>141</v>
      </c>
      <c r="F74" s="41">
        <f>(B2)/C74</f>
        <v>176.8292683</v>
      </c>
      <c r="G74" s="41">
        <f t="shared" ref="G74:G76" si="70">ROUNDUP(F74,0)</f>
        <v>177</v>
      </c>
      <c r="H74" s="57" t="s">
        <v>148</v>
      </c>
      <c r="I74" s="52">
        <f t="shared" ref="I74:I76" si="71">(G74*D74)*(1+H74)</f>
        <v>7301.25</v>
      </c>
      <c r="J74" s="36"/>
      <c r="K74" s="36"/>
      <c r="L74" s="36"/>
      <c r="M74" s="36"/>
      <c r="N74" s="36"/>
      <c r="O74" s="36"/>
    </row>
    <row r="75" ht="15.75" customHeight="1">
      <c r="A75" s="53" t="s">
        <v>84</v>
      </c>
      <c r="B75" s="53" t="s">
        <v>143</v>
      </c>
      <c r="C75" s="53">
        <v>25.0</v>
      </c>
      <c r="D75" s="54">
        <v>63.5</v>
      </c>
      <c r="E75" s="53" t="s">
        <v>141</v>
      </c>
      <c r="F75" s="41">
        <f>(D2+D3)/C75</f>
        <v>0</v>
      </c>
      <c r="G75" s="41">
        <f t="shared" si="70"/>
        <v>0</v>
      </c>
      <c r="H75" s="57" t="s">
        <v>148</v>
      </c>
      <c r="I75" s="52">
        <f t="shared" si="71"/>
        <v>0</v>
      </c>
      <c r="J75" s="36"/>
      <c r="K75" s="36"/>
      <c r="L75" s="36"/>
      <c r="M75" s="36"/>
      <c r="N75" s="36"/>
      <c r="O75" s="36"/>
    </row>
    <row r="76" ht="15.75" customHeight="1">
      <c r="A76" s="53" t="s">
        <v>149</v>
      </c>
      <c r="B76" s="53" t="s">
        <v>146</v>
      </c>
      <c r="C76" s="53">
        <v>120.0</v>
      </c>
      <c r="D76" s="54">
        <v>71.0</v>
      </c>
      <c r="E76" s="53" t="s">
        <v>141</v>
      </c>
      <c r="F76" s="41">
        <f>(D4+D5)/C76</f>
        <v>0</v>
      </c>
      <c r="G76" s="41">
        <f t="shared" si="70"/>
        <v>0</v>
      </c>
      <c r="H76" s="57" t="s">
        <v>148</v>
      </c>
      <c r="I76" s="52">
        <f t="shared" si="71"/>
        <v>0</v>
      </c>
      <c r="J76" s="36"/>
      <c r="K76" s="36"/>
      <c r="L76" s="36"/>
      <c r="M76" s="36"/>
      <c r="N76" s="36"/>
      <c r="O76" s="36"/>
    </row>
    <row r="77" ht="15.75" customHeight="1">
      <c r="A77" s="36"/>
      <c r="B77" s="36"/>
      <c r="C77" s="36"/>
      <c r="D77" s="36"/>
      <c r="E77" s="36"/>
      <c r="F77" s="55"/>
      <c r="G77" s="55"/>
      <c r="H77" s="36"/>
      <c r="I77" s="28"/>
      <c r="J77" s="36"/>
      <c r="K77" s="36"/>
      <c r="L77" s="36"/>
      <c r="M77" s="36"/>
      <c r="N77" s="36"/>
      <c r="O77" s="36"/>
    </row>
    <row r="78" ht="15.75" customHeight="1">
      <c r="A78" s="53" t="s">
        <v>150</v>
      </c>
      <c r="B78" s="53" t="s">
        <v>140</v>
      </c>
      <c r="C78" s="53">
        <v>0.328</v>
      </c>
      <c r="D78" s="54">
        <v>50.0</v>
      </c>
      <c r="E78" s="53" t="s">
        <v>144</v>
      </c>
      <c r="F78" s="41">
        <f>(B2)/C78</f>
        <v>176.8292683</v>
      </c>
      <c r="G78" s="41">
        <f t="shared" ref="G78:G80" si="72">ROUNDUP(F78,0)</f>
        <v>177</v>
      </c>
      <c r="H78" s="58">
        <v>0.1</v>
      </c>
      <c r="I78" s="52">
        <f t="shared" ref="I78:I80" si="73">(G78*D78)*(1+H78)</f>
        <v>9735</v>
      </c>
      <c r="J78" s="51"/>
      <c r="K78" s="36"/>
      <c r="L78" s="36"/>
      <c r="M78" s="36"/>
      <c r="N78" s="36"/>
      <c r="O78" s="36"/>
    </row>
    <row r="79" ht="15.75" customHeight="1">
      <c r="A79" s="53" t="s">
        <v>151</v>
      </c>
      <c r="B79" s="59" t="s">
        <v>143</v>
      </c>
      <c r="C79" s="53">
        <v>30.0</v>
      </c>
      <c r="D79" s="54">
        <v>92.5</v>
      </c>
      <c r="E79" s="53" t="s">
        <v>144</v>
      </c>
      <c r="F79" s="41">
        <f>(D2+D3)/C79</f>
        <v>0</v>
      </c>
      <c r="G79" s="41">
        <f t="shared" si="72"/>
        <v>0</v>
      </c>
      <c r="H79" s="58">
        <v>0.1</v>
      </c>
      <c r="I79" s="52">
        <f t="shared" si="73"/>
        <v>0</v>
      </c>
    </row>
    <row r="80" ht="15.75" customHeight="1">
      <c r="A80" s="53" t="s">
        <v>149</v>
      </c>
      <c r="B80" s="59" t="s">
        <v>146</v>
      </c>
      <c r="C80" s="53">
        <v>120.0</v>
      </c>
      <c r="D80" s="54">
        <v>71.0</v>
      </c>
      <c r="E80" s="53" t="s">
        <v>144</v>
      </c>
      <c r="F80" s="41">
        <f>(D4+D5)/C80</f>
        <v>0</v>
      </c>
      <c r="G80" s="41">
        <f t="shared" si="72"/>
        <v>0</v>
      </c>
      <c r="H80" s="58">
        <v>0.1</v>
      </c>
      <c r="I80" s="52">
        <f t="shared" si="73"/>
        <v>0</v>
      </c>
    </row>
    <row r="81" ht="15.75" customHeight="1">
      <c r="A81" s="36"/>
      <c r="B81" s="51"/>
      <c r="C81" s="60"/>
      <c r="D81" s="36"/>
      <c r="E81" s="36"/>
      <c r="F81" s="36"/>
      <c r="G81" s="55"/>
      <c r="H81" s="36"/>
      <c r="I81" s="28"/>
    </row>
    <row r="82" ht="15.75" customHeight="1">
      <c r="A82" s="53" t="s">
        <v>94</v>
      </c>
      <c r="B82" s="59" t="s">
        <v>140</v>
      </c>
      <c r="C82" s="39">
        <v>20.0</v>
      </c>
      <c r="D82" s="54">
        <v>46.0</v>
      </c>
      <c r="E82" s="53" t="s">
        <v>152</v>
      </c>
      <c r="F82" s="41">
        <f>(B6)/C82</f>
        <v>2.9</v>
      </c>
      <c r="G82" s="41">
        <f t="shared" ref="G82:G84" si="74">ROUNDUP(F82,0)</f>
        <v>3</v>
      </c>
      <c r="H82" s="58">
        <v>0.1</v>
      </c>
      <c r="I82" s="52">
        <f t="shared" ref="I82:I84" si="75">(G82*D82)*(1+H82)</f>
        <v>151.8</v>
      </c>
    </row>
    <row r="83" ht="15.75" customHeight="1">
      <c r="A83" s="53" t="s">
        <v>91</v>
      </c>
      <c r="B83" s="59" t="s">
        <v>146</v>
      </c>
      <c r="C83" s="39">
        <v>10.0</v>
      </c>
      <c r="D83" s="54">
        <v>11.0</v>
      </c>
      <c r="E83" s="53" t="s">
        <v>153</v>
      </c>
      <c r="F83" s="41">
        <f>(D4+D5)/C83</f>
        <v>0</v>
      </c>
      <c r="G83" s="41">
        <f t="shared" si="74"/>
        <v>0</v>
      </c>
      <c r="H83" s="58">
        <v>0.1</v>
      </c>
      <c r="I83" s="52">
        <f t="shared" si="75"/>
        <v>0</v>
      </c>
    </row>
    <row r="84" ht="15.75" customHeight="1">
      <c r="A84" s="61" t="s">
        <v>92</v>
      </c>
      <c r="B84" s="61" t="s">
        <v>154</v>
      </c>
      <c r="C84" s="39">
        <v>5.0</v>
      </c>
      <c r="D84" s="54">
        <v>11.0</v>
      </c>
      <c r="E84" s="53" t="s">
        <v>155</v>
      </c>
      <c r="F84" s="53">
        <f>(D2)/C84</f>
        <v>0</v>
      </c>
      <c r="G84" s="41">
        <f t="shared" si="74"/>
        <v>0</v>
      </c>
      <c r="H84" s="58">
        <v>0.1</v>
      </c>
      <c r="I84" s="52">
        <f t="shared" si="75"/>
        <v>0</v>
      </c>
      <c r="J84" s="51"/>
      <c r="K84" s="36"/>
      <c r="L84" s="36"/>
      <c r="M84" s="36"/>
      <c r="N84" s="36"/>
      <c r="O84" s="36"/>
    </row>
    <row r="85" ht="15.75" customHeight="1">
      <c r="A85" s="62"/>
      <c r="B85" s="51"/>
      <c r="C85" s="60"/>
      <c r="D85" s="36"/>
      <c r="E85" s="36"/>
      <c r="F85" s="36"/>
      <c r="G85" s="63"/>
      <c r="H85" s="36"/>
      <c r="I85" s="28"/>
      <c r="J85" s="36"/>
      <c r="K85" s="36"/>
      <c r="L85" s="36"/>
      <c r="M85" s="36"/>
      <c r="N85" s="36"/>
      <c r="O85" s="36"/>
    </row>
    <row r="86" ht="15.75" customHeight="1">
      <c r="A86" s="53" t="s">
        <v>97</v>
      </c>
      <c r="B86" s="53" t="s">
        <v>156</v>
      </c>
      <c r="C86" s="53">
        <v>1.0</v>
      </c>
      <c r="D86" s="54">
        <v>250.0</v>
      </c>
      <c r="E86" s="53" t="s">
        <v>156</v>
      </c>
      <c r="F86" s="41">
        <v>1.0</v>
      </c>
      <c r="G86" s="41">
        <f t="shared" ref="G86:G87" si="76">ROUNDUP(F86,0)</f>
        <v>1</v>
      </c>
      <c r="H86" s="58">
        <v>0.1</v>
      </c>
      <c r="I86" s="52">
        <f t="shared" ref="I86:I87" si="77">(G86*D86)*(1+H86)</f>
        <v>275</v>
      </c>
      <c r="J86" s="36"/>
      <c r="K86" s="36"/>
      <c r="L86" s="36"/>
      <c r="M86" s="36"/>
      <c r="N86" s="36"/>
      <c r="O86" s="36"/>
    </row>
    <row r="87" ht="15.75" customHeight="1">
      <c r="A87" s="53" t="s">
        <v>98</v>
      </c>
      <c r="B87" s="53" t="s">
        <v>156</v>
      </c>
      <c r="C87" s="53">
        <v>1.0</v>
      </c>
      <c r="D87" s="54">
        <v>750.0</v>
      </c>
      <c r="E87" s="53" t="s">
        <v>156</v>
      </c>
      <c r="F87" s="41">
        <v>1.0</v>
      </c>
      <c r="G87" s="41">
        <f t="shared" si="76"/>
        <v>1</v>
      </c>
      <c r="H87" s="58">
        <v>0.1</v>
      </c>
      <c r="I87" s="52">
        <f t="shared" si="77"/>
        <v>825</v>
      </c>
      <c r="J87" s="36"/>
      <c r="K87" s="36"/>
      <c r="L87" s="36"/>
      <c r="M87" s="36"/>
      <c r="N87" s="36"/>
      <c r="O87" s="36"/>
    </row>
    <row r="88" ht="15.75" customHeight="1">
      <c r="A88" s="62"/>
      <c r="B88" s="51"/>
      <c r="C88" s="60"/>
      <c r="D88" s="36"/>
      <c r="E88" s="36"/>
      <c r="F88" s="36"/>
      <c r="G88" s="60"/>
      <c r="H88" s="36"/>
      <c r="I88" s="28"/>
      <c r="J88" s="36"/>
      <c r="K88" s="36"/>
      <c r="L88" s="36"/>
      <c r="M88" s="36"/>
      <c r="N88" s="36"/>
      <c r="O88" s="36"/>
    </row>
    <row r="89" ht="15.75" customHeight="1">
      <c r="A89" s="62" t="s">
        <v>39</v>
      </c>
      <c r="B89" s="51"/>
      <c r="C89" s="60"/>
      <c r="D89" s="36"/>
      <c r="E89" s="36"/>
      <c r="F89" s="36"/>
      <c r="G89" s="60"/>
      <c r="H89" s="36"/>
      <c r="I89" s="28"/>
      <c r="J89" s="36"/>
      <c r="K89" s="36"/>
      <c r="L89" s="36"/>
      <c r="M89" s="36"/>
      <c r="N89" s="36"/>
      <c r="O89" s="36"/>
    </row>
    <row r="90" ht="15.75" customHeight="1">
      <c r="A90" s="20" t="s">
        <v>55</v>
      </c>
      <c r="B90" s="20" t="s">
        <v>133</v>
      </c>
      <c r="C90" s="20" t="s">
        <v>134</v>
      </c>
      <c r="D90" s="20" t="s">
        <v>135</v>
      </c>
      <c r="E90" s="20" t="s">
        <v>136</v>
      </c>
      <c r="F90" s="20" t="s">
        <v>76</v>
      </c>
      <c r="G90" s="49" t="s">
        <v>137</v>
      </c>
      <c r="H90" s="50" t="s">
        <v>138</v>
      </c>
      <c r="I90" s="50" t="s">
        <v>29</v>
      </c>
      <c r="J90" s="36"/>
      <c r="K90" s="36"/>
      <c r="L90" s="36"/>
      <c r="M90" s="36"/>
      <c r="N90" s="36"/>
      <c r="O90" s="36"/>
    </row>
    <row r="91" ht="15.75" customHeight="1">
      <c r="A91" s="53" t="s">
        <v>111</v>
      </c>
      <c r="B91" s="53" t="s">
        <v>140</v>
      </c>
      <c r="C91" s="39">
        <v>1.0</v>
      </c>
      <c r="D91" s="64">
        <v>175.0</v>
      </c>
      <c r="E91" s="53" t="s">
        <v>157</v>
      </c>
      <c r="F91" s="41">
        <f>(B2)/C91</f>
        <v>58</v>
      </c>
      <c r="G91" s="41">
        <f t="shared" ref="G91:G93" si="78">ROUNDUP(F91,0)</f>
        <v>58</v>
      </c>
      <c r="H91" s="58">
        <v>0.1</v>
      </c>
      <c r="I91" s="52">
        <f t="shared" ref="I91:I93" si="79">(G91*D91)*(1+H91)</f>
        <v>11165</v>
      </c>
      <c r="J91" s="36"/>
      <c r="K91" s="36"/>
      <c r="L91" s="36"/>
      <c r="M91" s="36"/>
      <c r="N91" s="36"/>
      <c r="O91" s="36"/>
    </row>
    <row r="92" ht="15.75" customHeight="1">
      <c r="A92" s="53" t="s">
        <v>112</v>
      </c>
      <c r="B92" s="53" t="s">
        <v>140</v>
      </c>
      <c r="C92" s="39">
        <v>1.0</v>
      </c>
      <c r="D92" s="64">
        <v>250.0</v>
      </c>
      <c r="E92" s="53" t="s">
        <v>157</v>
      </c>
      <c r="F92" s="41">
        <f>(B2)/C92</f>
        <v>58</v>
      </c>
      <c r="G92" s="41">
        <f t="shared" si="78"/>
        <v>58</v>
      </c>
      <c r="H92" s="58">
        <v>0.1</v>
      </c>
      <c r="I92" s="52">
        <f t="shared" si="79"/>
        <v>15950</v>
      </c>
      <c r="J92" s="36"/>
      <c r="K92" s="36"/>
      <c r="L92" s="36"/>
      <c r="M92" s="36"/>
      <c r="N92" s="36"/>
      <c r="O92" s="36"/>
    </row>
    <row r="93" ht="15.75" customHeight="1">
      <c r="A93" s="53" t="s">
        <v>158</v>
      </c>
      <c r="B93" s="53" t="s">
        <v>140</v>
      </c>
      <c r="C93" s="39">
        <v>1.0</v>
      </c>
      <c r="D93" s="54">
        <v>225.0</v>
      </c>
      <c r="E93" s="53" t="s">
        <v>157</v>
      </c>
      <c r="F93" s="41">
        <f>(B2)/C93</f>
        <v>58</v>
      </c>
      <c r="G93" s="41">
        <f t="shared" si="78"/>
        <v>58</v>
      </c>
      <c r="H93" s="58">
        <v>0.1</v>
      </c>
      <c r="I93" s="52">
        <f t="shared" si="79"/>
        <v>14355</v>
      </c>
      <c r="J93" s="36"/>
      <c r="K93" s="36"/>
      <c r="L93" s="36"/>
      <c r="M93" s="36"/>
      <c r="N93" s="36"/>
      <c r="O93" s="36"/>
    </row>
    <row r="94" ht="15.75" customHeight="1">
      <c r="A94" s="36"/>
      <c r="B94" s="51"/>
      <c r="C94" s="65"/>
      <c r="D94" s="46"/>
      <c r="E94" s="36"/>
      <c r="F94" s="55"/>
      <c r="G94" s="55"/>
      <c r="H94" s="36"/>
      <c r="I94" s="28"/>
      <c r="J94" s="36"/>
      <c r="K94" s="36"/>
      <c r="L94" s="36"/>
      <c r="M94" s="36"/>
      <c r="N94" s="36"/>
      <c r="O94" s="36"/>
    </row>
    <row r="95" ht="15.75" customHeight="1">
      <c r="A95" s="53" t="s">
        <v>114</v>
      </c>
      <c r="B95" s="59" t="s">
        <v>154</v>
      </c>
      <c r="C95" s="39">
        <v>10.0</v>
      </c>
      <c r="D95" s="54">
        <v>36.3</v>
      </c>
      <c r="E95" s="53" t="s">
        <v>155</v>
      </c>
      <c r="F95" s="41">
        <f t="shared" ref="F95:F99" si="80">(D2)/C95</f>
        <v>0</v>
      </c>
      <c r="G95" s="41">
        <f t="shared" ref="G95:G99" si="81">ROUNDUP(F95,0)</f>
        <v>0</v>
      </c>
      <c r="H95" s="58">
        <v>0.1</v>
      </c>
      <c r="I95" s="52">
        <f t="shared" ref="I95:I99" si="82">(G95*D95)*(1+H95)</f>
        <v>0</v>
      </c>
      <c r="J95" s="36"/>
      <c r="K95" s="36"/>
      <c r="L95" s="36"/>
      <c r="M95" s="36"/>
      <c r="N95" s="36"/>
      <c r="O95" s="36"/>
    </row>
    <row r="96" ht="15.75" customHeight="1">
      <c r="A96" s="53" t="s">
        <v>115</v>
      </c>
      <c r="B96" s="59" t="s">
        <v>159</v>
      </c>
      <c r="C96" s="39">
        <v>10.0</v>
      </c>
      <c r="D96" s="54">
        <v>15.8</v>
      </c>
      <c r="E96" s="53" t="s">
        <v>155</v>
      </c>
      <c r="F96" s="41">
        <f t="shared" si="80"/>
        <v>0</v>
      </c>
      <c r="G96" s="41">
        <f t="shared" si="81"/>
        <v>0</v>
      </c>
      <c r="H96" s="58">
        <v>0.1</v>
      </c>
      <c r="I96" s="52">
        <f t="shared" si="82"/>
        <v>0</v>
      </c>
      <c r="J96" s="36"/>
      <c r="K96" s="36"/>
      <c r="L96" s="36"/>
      <c r="M96" s="36"/>
      <c r="N96" s="36"/>
      <c r="O96" s="36"/>
    </row>
    <row r="97" ht="15.75" customHeight="1">
      <c r="A97" s="53" t="s">
        <v>160</v>
      </c>
      <c r="B97" s="53" t="s">
        <v>161</v>
      </c>
      <c r="C97" s="39">
        <v>10.0</v>
      </c>
      <c r="D97" s="54">
        <v>11.4</v>
      </c>
      <c r="E97" s="53" t="s">
        <v>155</v>
      </c>
      <c r="F97" s="41">
        <f t="shared" si="80"/>
        <v>0</v>
      </c>
      <c r="G97" s="41">
        <f t="shared" si="81"/>
        <v>0</v>
      </c>
      <c r="H97" s="58">
        <v>0.1</v>
      </c>
      <c r="I97" s="52">
        <f t="shared" si="82"/>
        <v>0</v>
      </c>
      <c r="J97" s="36"/>
      <c r="K97" s="36"/>
      <c r="L97" s="36"/>
      <c r="M97" s="36"/>
      <c r="N97" s="36"/>
      <c r="O97" s="36"/>
    </row>
    <row r="98" ht="15.75" customHeight="1">
      <c r="A98" s="53" t="s">
        <v>162</v>
      </c>
      <c r="B98" s="53" t="s">
        <v>163</v>
      </c>
      <c r="C98" s="39">
        <v>10.0</v>
      </c>
      <c r="D98" s="54">
        <v>16.7</v>
      </c>
      <c r="E98" s="53" t="s">
        <v>155</v>
      </c>
      <c r="F98" s="41">
        <f t="shared" si="80"/>
        <v>0</v>
      </c>
      <c r="G98" s="41">
        <f t="shared" si="81"/>
        <v>0</v>
      </c>
      <c r="H98" s="58">
        <v>0.1</v>
      </c>
      <c r="I98" s="52">
        <f t="shared" si="82"/>
        <v>0</v>
      </c>
      <c r="J98" s="36"/>
      <c r="K98" s="36"/>
      <c r="L98" s="36"/>
      <c r="M98" s="36"/>
      <c r="N98" s="36"/>
      <c r="O98" s="36"/>
    </row>
    <row r="99" ht="15.75" customHeight="1">
      <c r="A99" s="53" t="s">
        <v>164</v>
      </c>
      <c r="B99" s="59" t="s">
        <v>165</v>
      </c>
      <c r="C99" s="39">
        <v>10.0</v>
      </c>
      <c r="D99" s="54">
        <v>36.3</v>
      </c>
      <c r="E99" s="53" t="s">
        <v>155</v>
      </c>
      <c r="F99" s="41">
        <f t="shared" si="80"/>
        <v>0</v>
      </c>
      <c r="G99" s="41">
        <f t="shared" si="81"/>
        <v>0</v>
      </c>
      <c r="H99" s="58">
        <v>0.1</v>
      </c>
      <c r="I99" s="52">
        <f t="shared" si="82"/>
        <v>0</v>
      </c>
      <c r="J99" s="36"/>
      <c r="K99" s="36"/>
      <c r="L99" s="36"/>
      <c r="M99" s="36"/>
      <c r="N99" s="36"/>
      <c r="O99" s="36"/>
    </row>
    <row r="100" ht="15.75" customHeight="1">
      <c r="A100" s="36"/>
      <c r="B100" s="51"/>
      <c r="C100" s="65"/>
      <c r="D100" s="46"/>
      <c r="E100" s="36"/>
      <c r="F100" s="55"/>
      <c r="G100" s="55"/>
      <c r="H100" s="66"/>
      <c r="I100" s="28"/>
      <c r="J100" s="36"/>
      <c r="K100" s="36"/>
      <c r="L100" s="36"/>
      <c r="M100" s="36"/>
      <c r="N100" s="36"/>
      <c r="O100" s="36"/>
    </row>
    <row r="101" ht="15.75" customHeight="1">
      <c r="A101" s="53" t="s">
        <v>119</v>
      </c>
      <c r="B101" s="59" t="s">
        <v>140</v>
      </c>
      <c r="C101" s="39">
        <v>3.0</v>
      </c>
      <c r="D101" s="54">
        <v>16.6</v>
      </c>
      <c r="E101" s="53" t="s">
        <v>155</v>
      </c>
      <c r="F101" s="41">
        <f>(B2)/C101</f>
        <v>19.33333333</v>
      </c>
      <c r="G101" s="41">
        <f t="shared" ref="G101:G102" si="83">ROUNDUP(F101,0)</f>
        <v>20</v>
      </c>
      <c r="H101" s="58">
        <v>0.1</v>
      </c>
      <c r="I101" s="52">
        <f t="shared" ref="I101:I102" si="84">(G101*D101)*(1+H101)</f>
        <v>365.2</v>
      </c>
      <c r="J101" s="36"/>
      <c r="K101" s="36"/>
      <c r="L101" s="36"/>
      <c r="M101" s="36"/>
      <c r="N101" s="36"/>
      <c r="O101" s="36"/>
    </row>
    <row r="102" ht="15.75" customHeight="1">
      <c r="A102" s="53" t="s">
        <v>120</v>
      </c>
      <c r="B102" s="59" t="s">
        <v>140</v>
      </c>
      <c r="C102" s="39">
        <v>8.0</v>
      </c>
      <c r="D102" s="54">
        <v>7.0</v>
      </c>
      <c r="E102" s="53" t="s">
        <v>155</v>
      </c>
      <c r="F102" s="41">
        <f>(B2)/C102</f>
        <v>7.25</v>
      </c>
      <c r="G102" s="41">
        <f t="shared" si="83"/>
        <v>8</v>
      </c>
      <c r="H102" s="58">
        <v>0.1</v>
      </c>
      <c r="I102" s="52">
        <f t="shared" si="84"/>
        <v>61.6</v>
      </c>
      <c r="J102" s="36"/>
      <c r="K102" s="67"/>
      <c r="L102" s="36"/>
      <c r="M102" s="36"/>
      <c r="N102" s="36"/>
      <c r="O102" s="36"/>
    </row>
    <row r="103" ht="15.75" customHeight="1">
      <c r="G103" s="55"/>
      <c r="I103" s="28"/>
      <c r="J103" s="36"/>
      <c r="K103" s="67"/>
      <c r="L103" s="36"/>
      <c r="M103" s="36"/>
      <c r="N103" s="36"/>
      <c r="O103" s="36"/>
    </row>
    <row r="104" ht="15.75" customHeight="1">
      <c r="A104" s="53" t="s">
        <v>121</v>
      </c>
      <c r="B104" s="53" t="s">
        <v>156</v>
      </c>
      <c r="C104" s="53">
        <v>1.0</v>
      </c>
      <c r="D104" s="54">
        <v>300.0</v>
      </c>
      <c r="E104" s="53" t="s">
        <v>156</v>
      </c>
      <c r="F104" s="41">
        <v>1.0</v>
      </c>
      <c r="G104" s="41">
        <f>ROUNDUP(F104,0)</f>
        <v>1</v>
      </c>
      <c r="H104" s="58">
        <v>0.0</v>
      </c>
      <c r="I104" s="52">
        <f>(G104*D104)*(1+H104)</f>
        <v>300</v>
      </c>
      <c r="J104" s="36"/>
      <c r="K104" s="67"/>
      <c r="L104" s="36"/>
      <c r="M104" s="36"/>
      <c r="N104" s="36"/>
      <c r="O104" s="36"/>
    </row>
    <row r="105" ht="15.75" customHeight="1">
      <c r="I105" s="28"/>
      <c r="J105" s="36"/>
      <c r="K105" s="67"/>
      <c r="L105" s="36"/>
      <c r="M105" s="36"/>
      <c r="N105" s="36"/>
      <c r="O105" s="36"/>
    </row>
    <row r="106" ht="15.75" customHeight="1">
      <c r="A106" s="62" t="s">
        <v>166</v>
      </c>
      <c r="B106" s="36"/>
      <c r="C106" s="60"/>
      <c r="D106" s="36"/>
      <c r="E106" s="62"/>
      <c r="F106" s="36"/>
      <c r="G106" s="60"/>
      <c r="H106" s="36"/>
      <c r="I106" s="28"/>
      <c r="J106" s="36"/>
      <c r="K106" s="67"/>
      <c r="L106" s="36"/>
      <c r="M106" s="36"/>
      <c r="N106" s="36"/>
      <c r="O106" s="36"/>
    </row>
    <row r="107" ht="15.75" customHeight="1">
      <c r="A107" s="20" t="s">
        <v>55</v>
      </c>
      <c r="B107" s="20" t="s">
        <v>133</v>
      </c>
      <c r="C107" s="20" t="s">
        <v>134</v>
      </c>
      <c r="D107" s="20" t="s">
        <v>135</v>
      </c>
      <c r="E107" s="20" t="s">
        <v>136</v>
      </c>
      <c r="F107" s="20" t="s">
        <v>76</v>
      </c>
      <c r="G107" s="49" t="s">
        <v>137</v>
      </c>
      <c r="H107" s="50" t="s">
        <v>138</v>
      </c>
      <c r="I107" s="50" t="s">
        <v>29</v>
      </c>
      <c r="J107" s="36"/>
      <c r="K107" s="36"/>
      <c r="L107" s="36"/>
      <c r="M107" s="36"/>
      <c r="N107" s="36"/>
      <c r="O107" s="36"/>
    </row>
    <row r="108" ht="15.75" customHeight="1">
      <c r="A108" s="53" t="s">
        <v>89</v>
      </c>
      <c r="B108" s="59" t="s">
        <v>140</v>
      </c>
      <c r="C108" s="39">
        <v>10.0</v>
      </c>
      <c r="D108" s="54">
        <v>67.0</v>
      </c>
      <c r="E108" s="53" t="s">
        <v>167</v>
      </c>
      <c r="F108" s="41">
        <f>(B2)/C108</f>
        <v>5.8</v>
      </c>
      <c r="G108" s="41">
        <f t="shared" ref="G108:G112" si="85">ROUNDUP(F108,0)</f>
        <v>6</v>
      </c>
      <c r="H108" s="58">
        <v>0.1</v>
      </c>
      <c r="I108" s="52">
        <f t="shared" ref="I108:I112" si="86">(G108*D108)*(1+H108)</f>
        <v>442.2</v>
      </c>
      <c r="J108" s="36"/>
      <c r="K108" s="36"/>
      <c r="L108" s="36"/>
      <c r="M108" s="36"/>
      <c r="N108" s="36"/>
      <c r="O108" s="36"/>
    </row>
    <row r="109" ht="15.75" customHeight="1">
      <c r="A109" s="53" t="s">
        <v>90</v>
      </c>
      <c r="B109" s="59" t="s">
        <v>165</v>
      </c>
      <c r="C109" s="39">
        <v>65.0</v>
      </c>
      <c r="D109" s="54">
        <v>66.0</v>
      </c>
      <c r="E109" s="53" t="s">
        <v>167</v>
      </c>
      <c r="F109" s="41">
        <f>(D6)/C109</f>
        <v>0</v>
      </c>
      <c r="G109" s="41">
        <f t="shared" si="85"/>
        <v>0</v>
      </c>
      <c r="H109" s="58">
        <v>0.1</v>
      </c>
      <c r="I109" s="52">
        <f t="shared" si="86"/>
        <v>0</v>
      </c>
      <c r="J109" s="36"/>
      <c r="K109" s="67"/>
      <c r="L109" s="36"/>
      <c r="M109" s="36"/>
      <c r="N109" s="36"/>
      <c r="O109" s="36"/>
    </row>
    <row r="110" ht="15.75" customHeight="1">
      <c r="A110" s="53" t="s">
        <v>168</v>
      </c>
      <c r="B110" s="59" t="s">
        <v>140</v>
      </c>
      <c r="C110" s="39">
        <v>35.0</v>
      </c>
      <c r="D110" s="54">
        <v>29.0</v>
      </c>
      <c r="E110" s="53" t="s">
        <v>152</v>
      </c>
      <c r="F110" s="41">
        <f>(B2)/C110</f>
        <v>1.657142857</v>
      </c>
      <c r="G110" s="41">
        <f t="shared" si="85"/>
        <v>2</v>
      </c>
      <c r="H110" s="58">
        <v>0.1</v>
      </c>
      <c r="I110" s="52">
        <f t="shared" si="86"/>
        <v>63.8</v>
      </c>
      <c r="J110" s="36"/>
      <c r="K110" s="67"/>
      <c r="L110" s="36"/>
      <c r="M110" s="36"/>
      <c r="N110" s="36"/>
      <c r="O110" s="36"/>
    </row>
    <row r="111" ht="15.75" customHeight="1">
      <c r="A111" s="53" t="s">
        <v>95</v>
      </c>
      <c r="B111" s="59" t="s">
        <v>156</v>
      </c>
      <c r="C111" s="39">
        <v>1.0</v>
      </c>
      <c r="D111" s="54">
        <v>10.0</v>
      </c>
      <c r="E111" s="53" t="s">
        <v>169</v>
      </c>
      <c r="F111" s="41">
        <f t="shared" ref="F111:F112" si="87">C111</f>
        <v>1</v>
      </c>
      <c r="G111" s="41">
        <f t="shared" si="85"/>
        <v>1</v>
      </c>
      <c r="H111" s="58">
        <v>0.1</v>
      </c>
      <c r="I111" s="52">
        <f t="shared" si="86"/>
        <v>11</v>
      </c>
      <c r="J111" s="36"/>
      <c r="K111" s="36"/>
      <c r="L111" s="36"/>
      <c r="M111" s="36"/>
      <c r="N111" s="36"/>
      <c r="O111" s="36"/>
    </row>
    <row r="112" ht="15.75" customHeight="1">
      <c r="A112" s="53" t="s">
        <v>96</v>
      </c>
      <c r="B112" s="59" t="s">
        <v>156</v>
      </c>
      <c r="C112" s="39">
        <v>2.0</v>
      </c>
      <c r="D112" s="54">
        <v>15.0</v>
      </c>
      <c r="E112" s="53" t="s">
        <v>170</v>
      </c>
      <c r="F112" s="41">
        <f t="shared" si="87"/>
        <v>2</v>
      </c>
      <c r="G112" s="41">
        <f t="shared" si="85"/>
        <v>2</v>
      </c>
      <c r="H112" s="58">
        <v>0.1</v>
      </c>
      <c r="I112" s="52">
        <f t="shared" si="86"/>
        <v>33</v>
      </c>
      <c r="J112" s="36"/>
      <c r="K112" s="36"/>
      <c r="L112" s="36"/>
      <c r="M112" s="36"/>
      <c r="N112" s="36"/>
      <c r="O112" s="36"/>
    </row>
    <row r="113" ht="15.75" customHeight="1">
      <c r="A113" s="36"/>
      <c r="B113" s="51"/>
      <c r="C113" s="60"/>
      <c r="D113" s="36"/>
      <c r="E113" s="36"/>
      <c r="F113" s="36"/>
      <c r="G113" s="60"/>
      <c r="H113" s="36"/>
      <c r="I113" s="28"/>
      <c r="J113" s="36"/>
      <c r="K113" s="36"/>
      <c r="L113" s="36"/>
      <c r="M113" s="36"/>
      <c r="N113" s="36"/>
      <c r="O113" s="36"/>
    </row>
    <row r="114" ht="15.75" customHeight="1">
      <c r="A114" s="62" t="s">
        <v>61</v>
      </c>
      <c r="I114" s="28"/>
      <c r="J114" s="36"/>
      <c r="K114" s="36"/>
      <c r="L114" s="36"/>
      <c r="M114" s="36"/>
      <c r="N114" s="36"/>
      <c r="O114" s="36"/>
    </row>
    <row r="115" ht="15.75" customHeight="1">
      <c r="A115" s="20" t="s">
        <v>55</v>
      </c>
      <c r="B115" s="20" t="s">
        <v>133</v>
      </c>
      <c r="C115" s="20" t="s">
        <v>134</v>
      </c>
      <c r="D115" s="20" t="s">
        <v>135</v>
      </c>
      <c r="E115" s="20" t="s">
        <v>136</v>
      </c>
      <c r="F115" s="20" t="s">
        <v>76</v>
      </c>
      <c r="G115" s="49" t="s">
        <v>137</v>
      </c>
      <c r="H115" s="50" t="s">
        <v>138</v>
      </c>
      <c r="I115" s="50" t="s">
        <v>29</v>
      </c>
      <c r="J115" s="46"/>
      <c r="K115" s="36"/>
      <c r="L115" s="36"/>
      <c r="M115" s="36"/>
      <c r="N115" s="36"/>
      <c r="O115" s="36"/>
    </row>
    <row r="116" ht="15.75" customHeight="1">
      <c r="A116" s="53" t="s">
        <v>6</v>
      </c>
      <c r="B116" s="53" t="s">
        <v>171</v>
      </c>
      <c r="C116" s="53">
        <v>1.0</v>
      </c>
      <c r="D116" s="54">
        <v>14.0</v>
      </c>
      <c r="E116" s="53" t="s">
        <v>172</v>
      </c>
      <c r="F116" s="41">
        <f>G3</f>
        <v>2</v>
      </c>
      <c r="G116" s="41">
        <f t="shared" ref="G116:G126" si="88">ROUNDUP(F116,0)</f>
        <v>2</v>
      </c>
      <c r="H116" s="58">
        <v>0.1</v>
      </c>
      <c r="I116" s="52">
        <f t="shared" ref="I116:I126" si="89">(G116*D116)*(1+H116)</f>
        <v>30.8</v>
      </c>
      <c r="J116" s="36"/>
      <c r="K116" s="36"/>
      <c r="L116" s="36"/>
      <c r="M116" s="36"/>
      <c r="N116" s="36"/>
      <c r="O116" s="36"/>
      <c r="P116" s="36"/>
    </row>
    <row r="117" ht="15.75" customHeight="1">
      <c r="A117" s="53" t="s">
        <v>11</v>
      </c>
      <c r="B117" s="53" t="s">
        <v>171</v>
      </c>
      <c r="C117" s="53">
        <v>1.0</v>
      </c>
      <c r="D117" s="54">
        <v>35.0</v>
      </c>
      <c r="E117" s="53" t="s">
        <v>172</v>
      </c>
      <c r="F117" s="41">
        <f>G5</f>
        <v>0</v>
      </c>
      <c r="G117" s="41">
        <f t="shared" si="88"/>
        <v>0</v>
      </c>
      <c r="H117" s="58">
        <v>0.1</v>
      </c>
      <c r="I117" s="52">
        <f t="shared" si="89"/>
        <v>0</v>
      </c>
      <c r="J117" s="46"/>
      <c r="K117" s="36"/>
      <c r="L117" s="36"/>
      <c r="M117" s="36"/>
      <c r="N117" s="36"/>
      <c r="O117" s="36"/>
      <c r="P117" s="36"/>
    </row>
    <row r="118" ht="15.75" customHeight="1">
      <c r="A118" s="53" t="s">
        <v>68</v>
      </c>
      <c r="B118" s="53" t="s">
        <v>173</v>
      </c>
      <c r="C118" s="53">
        <v>1.0</v>
      </c>
      <c r="D118" s="54">
        <v>35.0</v>
      </c>
      <c r="E118" s="53" t="s">
        <v>172</v>
      </c>
      <c r="F118" s="41">
        <f>G4</f>
        <v>2</v>
      </c>
      <c r="G118" s="41">
        <f t="shared" si="88"/>
        <v>2</v>
      </c>
      <c r="H118" s="58">
        <v>0.1</v>
      </c>
      <c r="I118" s="52">
        <f t="shared" si="89"/>
        <v>77</v>
      </c>
      <c r="J118" s="46"/>
      <c r="K118" s="46"/>
      <c r="L118" s="36"/>
      <c r="M118" s="36"/>
      <c r="N118" s="36"/>
      <c r="O118" s="36"/>
      <c r="P118" s="36"/>
    </row>
    <row r="119" ht="15.75" customHeight="1">
      <c r="A119" s="53" t="s">
        <v>174</v>
      </c>
      <c r="B119" s="53" t="s">
        <v>175</v>
      </c>
      <c r="C119" s="53">
        <v>1.0</v>
      </c>
      <c r="D119" s="54">
        <v>48.0</v>
      </c>
      <c r="E119" s="53" t="s">
        <v>172</v>
      </c>
      <c r="F119" s="41">
        <f>G9</f>
        <v>0</v>
      </c>
      <c r="G119" s="41">
        <f t="shared" si="88"/>
        <v>0</v>
      </c>
      <c r="H119" s="58">
        <v>0.1</v>
      </c>
      <c r="I119" s="52">
        <f t="shared" si="89"/>
        <v>0</v>
      </c>
      <c r="J119" s="36"/>
      <c r="K119" s="67"/>
      <c r="L119" s="36"/>
      <c r="M119" s="36"/>
      <c r="N119" s="36"/>
      <c r="O119" s="36"/>
      <c r="P119" s="36"/>
    </row>
    <row r="120" ht="15.75" customHeight="1">
      <c r="A120" s="53" t="s">
        <v>176</v>
      </c>
      <c r="B120" s="53" t="s">
        <v>177</v>
      </c>
      <c r="C120" s="53">
        <v>1.0</v>
      </c>
      <c r="D120" s="54">
        <v>48.0</v>
      </c>
      <c r="E120" s="53" t="s">
        <v>172</v>
      </c>
      <c r="F120" s="41">
        <f>I2</f>
        <v>0</v>
      </c>
      <c r="G120" s="41">
        <f t="shared" si="88"/>
        <v>0</v>
      </c>
      <c r="H120" s="58">
        <v>0.1</v>
      </c>
      <c r="I120" s="52">
        <f t="shared" si="89"/>
        <v>0</v>
      </c>
      <c r="J120" s="36"/>
      <c r="K120" s="67"/>
      <c r="L120" s="36"/>
      <c r="M120" s="36"/>
      <c r="N120" s="36"/>
      <c r="O120" s="36"/>
      <c r="P120" s="36"/>
    </row>
    <row r="121" ht="15.75" customHeight="1">
      <c r="A121" s="53" t="s">
        <v>178</v>
      </c>
      <c r="B121" s="53" t="s">
        <v>179</v>
      </c>
      <c r="C121" s="53">
        <v>1.0</v>
      </c>
      <c r="D121" s="54">
        <v>35.0</v>
      </c>
      <c r="E121" s="53" t="s">
        <v>172</v>
      </c>
      <c r="F121" s="41">
        <f>G6</f>
        <v>10</v>
      </c>
      <c r="G121" s="41">
        <f t="shared" si="88"/>
        <v>10</v>
      </c>
      <c r="H121" s="58">
        <v>0.1</v>
      </c>
      <c r="I121" s="52">
        <f t="shared" si="89"/>
        <v>385</v>
      </c>
      <c r="J121" s="36"/>
      <c r="K121" s="67"/>
      <c r="L121" s="36"/>
      <c r="M121" s="36"/>
      <c r="N121" s="36"/>
      <c r="O121" s="36"/>
      <c r="P121" s="36"/>
    </row>
    <row r="122" ht="15.75" customHeight="1">
      <c r="A122" s="53" t="s">
        <v>180</v>
      </c>
      <c r="B122" s="53" t="s">
        <v>181</v>
      </c>
      <c r="C122" s="53">
        <v>10.0</v>
      </c>
      <c r="D122" s="54">
        <v>12.0</v>
      </c>
      <c r="E122" s="53" t="s">
        <v>155</v>
      </c>
      <c r="F122" s="41">
        <f t="shared" ref="F122:F123" si="90">G7/C122</f>
        <v>0</v>
      </c>
      <c r="G122" s="41">
        <f t="shared" si="88"/>
        <v>0</v>
      </c>
      <c r="H122" s="58">
        <v>0.1</v>
      </c>
      <c r="I122" s="52">
        <f t="shared" si="89"/>
        <v>0</v>
      </c>
      <c r="J122" s="46"/>
      <c r="K122" s="67"/>
      <c r="L122" s="36"/>
      <c r="M122" s="36"/>
      <c r="N122" s="36"/>
      <c r="O122" s="36"/>
      <c r="P122" s="36"/>
    </row>
    <row r="123" ht="15.75" customHeight="1">
      <c r="A123" s="53" t="s">
        <v>182</v>
      </c>
      <c r="B123" s="53" t="s">
        <v>181</v>
      </c>
      <c r="C123" s="53">
        <v>10.0</v>
      </c>
      <c r="D123" s="54">
        <v>15.0</v>
      </c>
      <c r="E123" s="53" t="s">
        <v>155</v>
      </c>
      <c r="F123" s="41">
        <f t="shared" si="90"/>
        <v>3.5</v>
      </c>
      <c r="G123" s="41">
        <f t="shared" si="88"/>
        <v>4</v>
      </c>
      <c r="H123" s="58">
        <v>0.1</v>
      </c>
      <c r="I123" s="52">
        <f t="shared" si="89"/>
        <v>66</v>
      </c>
      <c r="J123" s="46"/>
      <c r="K123" s="67"/>
      <c r="L123" s="36"/>
      <c r="M123" s="36"/>
      <c r="N123" s="36"/>
      <c r="O123" s="36"/>
      <c r="P123" s="36"/>
    </row>
    <row r="124" ht="15.75" customHeight="1">
      <c r="A124" s="53" t="s">
        <v>183</v>
      </c>
      <c r="B124" s="53" t="s">
        <v>181</v>
      </c>
      <c r="C124" s="53">
        <v>10.0</v>
      </c>
      <c r="D124" s="54">
        <v>12.0</v>
      </c>
      <c r="E124" s="53" t="s">
        <v>155</v>
      </c>
      <c r="F124" s="41">
        <f t="shared" ref="F124:F125" si="91">I3/C124</f>
        <v>0</v>
      </c>
      <c r="G124" s="41">
        <f t="shared" si="88"/>
        <v>0</v>
      </c>
      <c r="H124" s="58">
        <v>0.1</v>
      </c>
      <c r="I124" s="52">
        <f t="shared" si="89"/>
        <v>0</v>
      </c>
      <c r="J124" s="36"/>
      <c r="K124" s="36"/>
      <c r="L124" s="36"/>
      <c r="M124" s="36"/>
      <c r="N124" s="36"/>
      <c r="O124" s="36"/>
      <c r="P124" s="36"/>
    </row>
    <row r="125" ht="15.75" customHeight="1">
      <c r="A125" s="53" t="s">
        <v>184</v>
      </c>
      <c r="B125" s="53" t="s">
        <v>181</v>
      </c>
      <c r="C125" s="53">
        <v>8.0</v>
      </c>
      <c r="D125" s="54">
        <v>56.0</v>
      </c>
      <c r="E125" s="53" t="s">
        <v>155</v>
      </c>
      <c r="F125" s="41">
        <f t="shared" si="91"/>
        <v>0</v>
      </c>
      <c r="G125" s="41">
        <f t="shared" si="88"/>
        <v>0</v>
      </c>
      <c r="H125" s="58">
        <v>0.1</v>
      </c>
      <c r="I125" s="52">
        <f t="shared" si="89"/>
        <v>0</v>
      </c>
      <c r="J125" s="36"/>
      <c r="K125" s="36"/>
      <c r="L125" s="36"/>
      <c r="M125" s="36"/>
      <c r="N125" s="36"/>
      <c r="O125" s="36"/>
      <c r="P125" s="36"/>
    </row>
    <row r="126" ht="15.75" customHeight="1">
      <c r="A126" s="53" t="s">
        <v>185</v>
      </c>
      <c r="B126" s="53" t="s">
        <v>181</v>
      </c>
      <c r="C126" s="53">
        <v>4.0</v>
      </c>
      <c r="D126" s="54">
        <v>20.0</v>
      </c>
      <c r="E126" s="53" t="s">
        <v>155</v>
      </c>
      <c r="F126" s="41">
        <f>I8/C126</f>
        <v>0</v>
      </c>
      <c r="G126" s="41">
        <f t="shared" si="88"/>
        <v>0</v>
      </c>
      <c r="H126" s="58">
        <v>0.1</v>
      </c>
      <c r="I126" s="52">
        <f t="shared" si="89"/>
        <v>0</v>
      </c>
      <c r="J126" s="36"/>
      <c r="K126" s="36"/>
      <c r="L126" s="36"/>
      <c r="M126" s="36"/>
      <c r="N126" s="36"/>
      <c r="O126" s="36"/>
      <c r="P126" s="36"/>
    </row>
    <row r="127" ht="15.75" customHeight="1">
      <c r="C127" s="60"/>
      <c r="D127" s="36"/>
      <c r="E127" s="36"/>
      <c r="F127" s="36"/>
      <c r="G127" s="60"/>
      <c r="H127" s="36"/>
      <c r="I127" s="28"/>
      <c r="J127" s="36"/>
      <c r="K127" s="36"/>
      <c r="L127" s="36"/>
      <c r="M127" s="36"/>
      <c r="N127" s="36"/>
      <c r="O127" s="36"/>
      <c r="P127" s="36"/>
    </row>
    <row r="128" ht="15.75" customHeight="1">
      <c r="A128" s="68" t="s">
        <v>186</v>
      </c>
      <c r="B128" s="20" t="s">
        <v>133</v>
      </c>
      <c r="C128" s="20" t="s">
        <v>134</v>
      </c>
      <c r="D128" s="20" t="s">
        <v>135</v>
      </c>
      <c r="E128" s="20" t="s">
        <v>136</v>
      </c>
      <c r="F128" s="20" t="s">
        <v>76</v>
      </c>
      <c r="G128" s="49" t="s">
        <v>137</v>
      </c>
      <c r="H128" s="50" t="s">
        <v>138</v>
      </c>
      <c r="I128" s="50" t="s">
        <v>29</v>
      </c>
      <c r="J128" s="36"/>
      <c r="K128" s="46"/>
      <c r="L128" s="36"/>
      <c r="M128" s="36"/>
      <c r="N128" s="36"/>
      <c r="O128" s="36"/>
      <c r="P128" s="36"/>
    </row>
    <row r="129" ht="15.75" customHeight="1">
      <c r="A129" s="53" t="s">
        <v>187</v>
      </c>
      <c r="B129" s="53" t="s">
        <v>181</v>
      </c>
      <c r="C129" s="53">
        <v>1.0</v>
      </c>
      <c r="D129" s="54">
        <v>8.0</v>
      </c>
      <c r="E129" s="53" t="s">
        <v>155</v>
      </c>
      <c r="F129" s="41">
        <f>I5</f>
        <v>0</v>
      </c>
      <c r="G129" s="41">
        <f t="shared" ref="G129:G131" si="92">ROUNDUP(F129,0)</f>
        <v>0</v>
      </c>
      <c r="H129" s="58">
        <v>0.0</v>
      </c>
      <c r="I129" s="52">
        <f t="shared" ref="I129:I131" si="93">(G129*D129)*(1+H129)</f>
        <v>0</v>
      </c>
      <c r="J129" s="36"/>
      <c r="K129" s="36"/>
      <c r="L129" s="36"/>
      <c r="M129" s="36"/>
      <c r="N129" s="36"/>
      <c r="O129" s="36"/>
      <c r="P129" s="36"/>
    </row>
    <row r="130" ht="15.75" customHeight="1">
      <c r="A130" s="53" t="s">
        <v>188</v>
      </c>
      <c r="B130" s="53" t="s">
        <v>189</v>
      </c>
      <c r="C130" s="53">
        <v>1.0</v>
      </c>
      <c r="D130" s="54">
        <v>8.0</v>
      </c>
      <c r="E130" s="53" t="s">
        <v>155</v>
      </c>
      <c r="F130" s="41">
        <f>I7</f>
        <v>0</v>
      </c>
      <c r="G130" s="41">
        <f t="shared" si="92"/>
        <v>0</v>
      </c>
      <c r="H130" s="58">
        <v>0.0</v>
      </c>
      <c r="I130" s="52">
        <f t="shared" si="93"/>
        <v>0</v>
      </c>
      <c r="J130" s="36"/>
      <c r="K130" s="36"/>
      <c r="L130" s="36"/>
      <c r="M130" s="36"/>
      <c r="N130" s="36"/>
      <c r="O130" s="36"/>
    </row>
    <row r="131" ht="15.75" customHeight="1">
      <c r="A131" s="53" t="s">
        <v>190</v>
      </c>
      <c r="B131" s="53" t="s">
        <v>191</v>
      </c>
      <c r="C131" s="53">
        <v>1.0</v>
      </c>
      <c r="D131" s="54">
        <v>60.0</v>
      </c>
      <c r="E131" s="53" t="s">
        <v>172</v>
      </c>
      <c r="F131" s="41">
        <f>I6</f>
        <v>0</v>
      </c>
      <c r="G131" s="41">
        <f t="shared" si="92"/>
        <v>0</v>
      </c>
      <c r="H131" s="58">
        <v>0.0</v>
      </c>
      <c r="I131" s="52">
        <f t="shared" si="93"/>
        <v>0</v>
      </c>
      <c r="J131" s="36"/>
      <c r="K131" s="36"/>
      <c r="L131" s="36"/>
      <c r="M131" s="36"/>
      <c r="N131" s="36"/>
      <c r="O131" s="36"/>
    </row>
    <row r="132" ht="15.75" customHeight="1">
      <c r="B132" s="36"/>
      <c r="C132" s="36"/>
      <c r="D132" s="36"/>
      <c r="E132" s="36"/>
      <c r="F132" s="36"/>
      <c r="G132" s="36"/>
      <c r="H132" s="36"/>
      <c r="I132" s="28"/>
      <c r="J132" s="36"/>
      <c r="K132" s="36"/>
      <c r="L132" s="36"/>
      <c r="M132" s="36"/>
      <c r="N132" s="36"/>
      <c r="O132" s="36"/>
    </row>
    <row r="133" ht="15.75" customHeight="1">
      <c r="A133" s="68" t="s">
        <v>192</v>
      </c>
      <c r="B133" s="36"/>
      <c r="C133" s="36"/>
      <c r="D133" s="36"/>
      <c r="E133" s="36"/>
      <c r="F133" s="36"/>
      <c r="G133" s="36"/>
      <c r="H133" s="36"/>
      <c r="I133" s="28"/>
      <c r="J133" s="36"/>
      <c r="K133" s="36"/>
      <c r="L133" s="36"/>
      <c r="M133" s="36"/>
      <c r="N133" s="36"/>
      <c r="O133" s="36"/>
    </row>
    <row r="134" ht="15.75" customHeight="1">
      <c r="A134" s="20" t="s">
        <v>55</v>
      </c>
      <c r="B134" s="20" t="s">
        <v>133</v>
      </c>
      <c r="C134" s="20" t="s">
        <v>134</v>
      </c>
      <c r="D134" s="20" t="s">
        <v>135</v>
      </c>
      <c r="E134" s="20" t="s">
        <v>136</v>
      </c>
      <c r="F134" s="20" t="s">
        <v>76</v>
      </c>
      <c r="G134" s="49" t="s">
        <v>137</v>
      </c>
      <c r="H134" s="50" t="s">
        <v>138</v>
      </c>
      <c r="I134" s="50" t="s">
        <v>29</v>
      </c>
      <c r="J134" s="36"/>
      <c r="K134" s="36"/>
      <c r="L134" s="36"/>
      <c r="M134" s="36"/>
      <c r="N134" s="36"/>
      <c r="O134" s="36"/>
    </row>
    <row r="135" ht="15.75" customHeight="1">
      <c r="A135" s="53" t="s">
        <v>100</v>
      </c>
      <c r="B135" s="53" t="s">
        <v>3</v>
      </c>
      <c r="C135" s="53">
        <v>1.0</v>
      </c>
      <c r="D135" s="54">
        <v>80.0</v>
      </c>
      <c r="E135" s="53" t="s">
        <v>193</v>
      </c>
      <c r="F135" s="41">
        <f>B2/C135</f>
        <v>58</v>
      </c>
      <c r="G135" s="41">
        <f t="shared" ref="G135:G148" si="94">ROUNDUP(F135,0)</f>
        <v>58</v>
      </c>
      <c r="H135" s="58">
        <v>0.0</v>
      </c>
      <c r="I135" s="52">
        <f t="shared" ref="I135:I148" si="95">(G135*D135)*(1+H135)</f>
        <v>4640</v>
      </c>
      <c r="J135" s="36"/>
      <c r="K135" s="36"/>
      <c r="L135" s="36"/>
      <c r="M135" s="36"/>
      <c r="N135" s="36"/>
      <c r="O135" s="36"/>
    </row>
    <row r="136" ht="15.75" customHeight="1">
      <c r="A136" s="53" t="s">
        <v>122</v>
      </c>
      <c r="B136" s="53" t="s">
        <v>3</v>
      </c>
      <c r="C136" s="53">
        <v>1.0</v>
      </c>
      <c r="D136" s="64">
        <v>150.0</v>
      </c>
      <c r="E136" s="53" t="s">
        <v>193</v>
      </c>
      <c r="F136" s="41">
        <f>(B2)/C136</f>
        <v>58</v>
      </c>
      <c r="G136" s="41">
        <f t="shared" si="94"/>
        <v>58</v>
      </c>
      <c r="H136" s="58">
        <v>0.0</v>
      </c>
      <c r="I136" s="52">
        <f t="shared" si="95"/>
        <v>8700</v>
      </c>
      <c r="J136" s="36"/>
      <c r="K136" s="36"/>
      <c r="L136" s="36"/>
      <c r="M136" s="36"/>
      <c r="N136" s="36"/>
      <c r="O136" s="36"/>
    </row>
    <row r="137" ht="15.75" customHeight="1">
      <c r="A137" s="53" t="s">
        <v>194</v>
      </c>
      <c r="B137" s="53" t="s">
        <v>3</v>
      </c>
      <c r="C137" s="53">
        <v>1.0</v>
      </c>
      <c r="D137" s="54">
        <v>200.0</v>
      </c>
      <c r="E137" s="53" t="s">
        <v>193</v>
      </c>
      <c r="F137" s="41">
        <f>(B2)/C137</f>
        <v>58</v>
      </c>
      <c r="G137" s="41">
        <f t="shared" si="94"/>
        <v>58</v>
      </c>
      <c r="H137" s="58">
        <v>0.0</v>
      </c>
      <c r="I137" s="52">
        <f t="shared" si="95"/>
        <v>11600</v>
      </c>
      <c r="J137" s="36"/>
      <c r="K137" s="36"/>
      <c r="L137" s="36"/>
      <c r="M137" s="36"/>
      <c r="N137" s="36"/>
      <c r="O137" s="36"/>
    </row>
    <row r="138" ht="15.75" customHeight="1">
      <c r="A138" s="53" t="s">
        <v>104</v>
      </c>
      <c r="B138" s="53" t="s">
        <v>140</v>
      </c>
      <c r="C138" s="53">
        <v>25.0</v>
      </c>
      <c r="D138" s="54">
        <v>250.0</v>
      </c>
      <c r="E138" s="53" t="s">
        <v>193</v>
      </c>
      <c r="F138" s="41">
        <f>B2/C138</f>
        <v>2.32</v>
      </c>
      <c r="G138" s="41">
        <f t="shared" si="94"/>
        <v>3</v>
      </c>
      <c r="H138" s="58">
        <v>0.0</v>
      </c>
      <c r="I138" s="52">
        <f t="shared" si="95"/>
        <v>750</v>
      </c>
      <c r="J138" s="36"/>
      <c r="K138" s="36"/>
      <c r="L138" s="36"/>
      <c r="M138" s="36"/>
      <c r="N138" s="36"/>
      <c r="O138" s="36"/>
    </row>
    <row r="139" ht="15.75" customHeight="1">
      <c r="A139" s="53" t="s">
        <v>195</v>
      </c>
      <c r="B139" s="53" t="s">
        <v>140</v>
      </c>
      <c r="C139" s="53">
        <v>1.0</v>
      </c>
      <c r="D139" s="54">
        <v>8.0</v>
      </c>
      <c r="E139" s="53" t="s">
        <v>193</v>
      </c>
      <c r="F139" s="41">
        <f>B2*G2</f>
        <v>58</v>
      </c>
      <c r="G139" s="41">
        <f t="shared" si="94"/>
        <v>58</v>
      </c>
      <c r="H139" s="58">
        <v>0.0</v>
      </c>
      <c r="I139" s="52">
        <f t="shared" si="95"/>
        <v>464</v>
      </c>
      <c r="J139" s="36"/>
      <c r="K139" s="36"/>
      <c r="L139" s="36"/>
      <c r="M139" s="36"/>
      <c r="N139" s="36"/>
      <c r="O139" s="36"/>
    </row>
    <row r="140" ht="15.75" customHeight="1">
      <c r="A140" s="53" t="s">
        <v>196</v>
      </c>
      <c r="B140" s="53" t="s">
        <v>179</v>
      </c>
      <c r="C140" s="53">
        <v>1.0</v>
      </c>
      <c r="D140" s="54">
        <v>15.0</v>
      </c>
      <c r="E140" s="53" t="s">
        <v>172</v>
      </c>
      <c r="F140" s="41">
        <f>G6</f>
        <v>10</v>
      </c>
      <c r="G140" s="41">
        <f t="shared" si="94"/>
        <v>10</v>
      </c>
      <c r="H140" s="58">
        <v>0.0</v>
      </c>
      <c r="I140" s="52">
        <f t="shared" si="95"/>
        <v>150</v>
      </c>
      <c r="J140" s="36"/>
      <c r="K140" s="36"/>
      <c r="L140" s="36"/>
      <c r="M140" s="36"/>
      <c r="N140" s="36"/>
      <c r="O140" s="36"/>
    </row>
    <row r="141" ht="15.75" customHeight="1">
      <c r="A141" s="53" t="s">
        <v>174</v>
      </c>
      <c r="B141" s="53" t="s">
        <v>175</v>
      </c>
      <c r="C141" s="53">
        <v>1.0</v>
      </c>
      <c r="D141" s="54">
        <v>150.0</v>
      </c>
      <c r="E141" s="53" t="s">
        <v>172</v>
      </c>
      <c r="F141" s="41">
        <f>G9</f>
        <v>0</v>
      </c>
      <c r="G141" s="41">
        <f t="shared" si="94"/>
        <v>0</v>
      </c>
      <c r="H141" s="58">
        <v>0.0</v>
      </c>
      <c r="I141" s="52">
        <f t="shared" si="95"/>
        <v>0</v>
      </c>
      <c r="J141" s="36"/>
      <c r="K141" s="36"/>
      <c r="L141" s="36"/>
      <c r="M141" s="36"/>
      <c r="N141" s="36"/>
      <c r="O141" s="36"/>
    </row>
    <row r="142" ht="15.75" customHeight="1">
      <c r="A142" s="53" t="s">
        <v>176</v>
      </c>
      <c r="B142" s="53" t="s">
        <v>177</v>
      </c>
      <c r="C142" s="53">
        <v>1.0</v>
      </c>
      <c r="D142" s="54">
        <v>150.0</v>
      </c>
      <c r="E142" s="53" t="s">
        <v>172</v>
      </c>
      <c r="F142" s="41">
        <f>I2</f>
        <v>0</v>
      </c>
      <c r="G142" s="41">
        <f t="shared" si="94"/>
        <v>0</v>
      </c>
      <c r="H142" s="58">
        <v>0.0</v>
      </c>
      <c r="I142" s="52">
        <f t="shared" si="95"/>
        <v>0</v>
      </c>
      <c r="J142" s="36"/>
      <c r="K142" s="36"/>
      <c r="L142" s="36"/>
      <c r="M142" s="36"/>
      <c r="N142" s="36"/>
      <c r="O142" s="36"/>
    </row>
    <row r="143" ht="15.75" customHeight="1">
      <c r="A143" s="53" t="s">
        <v>180</v>
      </c>
      <c r="B143" s="53" t="s">
        <v>181</v>
      </c>
      <c r="C143" s="53">
        <v>1.0</v>
      </c>
      <c r="D143" s="54">
        <v>3.0</v>
      </c>
      <c r="E143" s="53" t="s">
        <v>155</v>
      </c>
      <c r="F143" s="41">
        <f t="shared" ref="F143:F144" si="96">G7</f>
        <v>0</v>
      </c>
      <c r="G143" s="41">
        <f t="shared" si="94"/>
        <v>0</v>
      </c>
      <c r="H143" s="58">
        <v>0.0</v>
      </c>
      <c r="I143" s="52">
        <f t="shared" si="95"/>
        <v>0</v>
      </c>
      <c r="J143" s="36"/>
      <c r="K143" s="36"/>
      <c r="L143" s="36"/>
      <c r="M143" s="36"/>
      <c r="N143" s="36"/>
      <c r="O143" s="36"/>
    </row>
    <row r="144" ht="15.75" customHeight="1">
      <c r="A144" s="53" t="s">
        <v>182</v>
      </c>
      <c r="B144" s="53" t="s">
        <v>181</v>
      </c>
      <c r="C144" s="53">
        <v>1.0</v>
      </c>
      <c r="D144" s="54">
        <v>3.0</v>
      </c>
      <c r="E144" s="53" t="s">
        <v>155</v>
      </c>
      <c r="F144" s="41">
        <f t="shared" si="96"/>
        <v>35</v>
      </c>
      <c r="G144" s="41">
        <f t="shared" si="94"/>
        <v>35</v>
      </c>
      <c r="H144" s="58">
        <v>0.0</v>
      </c>
      <c r="I144" s="52">
        <f t="shared" si="95"/>
        <v>105</v>
      </c>
      <c r="J144" s="36"/>
      <c r="K144" s="36"/>
      <c r="L144" s="36"/>
      <c r="M144" s="36"/>
      <c r="N144" s="36"/>
      <c r="O144" s="36"/>
    </row>
    <row r="145" ht="15.75" customHeight="1">
      <c r="A145" s="53" t="s">
        <v>197</v>
      </c>
      <c r="B145" s="53" t="s">
        <v>181</v>
      </c>
      <c r="C145" s="53">
        <v>1.0</v>
      </c>
      <c r="D145" s="54">
        <v>2.0</v>
      </c>
      <c r="E145" s="53" t="s">
        <v>155</v>
      </c>
      <c r="F145" s="41">
        <f t="shared" ref="F145:F146" si="97">I3</f>
        <v>0</v>
      </c>
      <c r="G145" s="41">
        <f t="shared" si="94"/>
        <v>0</v>
      </c>
      <c r="H145" s="58">
        <v>0.0</v>
      </c>
      <c r="I145" s="52">
        <f t="shared" si="95"/>
        <v>0</v>
      </c>
      <c r="J145" s="36"/>
      <c r="K145" s="36"/>
      <c r="L145" s="36"/>
      <c r="M145" s="36"/>
      <c r="N145" s="36"/>
      <c r="O145" s="36"/>
    </row>
    <row r="146" ht="15.75" customHeight="1">
      <c r="A146" s="53" t="s">
        <v>198</v>
      </c>
      <c r="B146" s="53" t="s">
        <v>181</v>
      </c>
      <c r="C146" s="53">
        <v>1.0</v>
      </c>
      <c r="D146" s="54">
        <v>2.0</v>
      </c>
      <c r="E146" s="53" t="s">
        <v>155</v>
      </c>
      <c r="F146" s="41">
        <f t="shared" si="97"/>
        <v>0</v>
      </c>
      <c r="G146" s="41">
        <f t="shared" si="94"/>
        <v>0</v>
      </c>
      <c r="H146" s="58">
        <v>0.0</v>
      </c>
      <c r="I146" s="52">
        <f t="shared" si="95"/>
        <v>0</v>
      </c>
      <c r="J146" s="36"/>
      <c r="K146" s="36"/>
      <c r="L146" s="36"/>
      <c r="M146" s="36"/>
      <c r="N146" s="36"/>
      <c r="O146" s="36"/>
    </row>
    <row r="147" ht="15.75" customHeight="1">
      <c r="A147" s="53" t="s">
        <v>199</v>
      </c>
      <c r="B147" s="53" t="s">
        <v>200</v>
      </c>
      <c r="C147" s="53">
        <v>1.0</v>
      </c>
      <c r="D147" s="54">
        <v>10.0</v>
      </c>
      <c r="E147" s="53" t="s">
        <v>193</v>
      </c>
      <c r="F147" s="41">
        <f>B4</f>
        <v>0</v>
      </c>
      <c r="G147" s="41">
        <f t="shared" si="94"/>
        <v>0</v>
      </c>
      <c r="H147" s="58">
        <v>0.0</v>
      </c>
      <c r="I147" s="52">
        <f t="shared" si="95"/>
        <v>0</v>
      </c>
      <c r="J147" s="36"/>
      <c r="K147" s="36"/>
      <c r="L147" s="36"/>
      <c r="M147" s="36"/>
      <c r="N147" s="36"/>
      <c r="O147" s="36"/>
    </row>
    <row r="148" ht="15.75" customHeight="1">
      <c r="A148" s="53" t="s">
        <v>102</v>
      </c>
      <c r="B148" s="53" t="s">
        <v>201</v>
      </c>
      <c r="C148" s="53">
        <v>1.0</v>
      </c>
      <c r="D148" s="54">
        <v>200.0</v>
      </c>
      <c r="E148" s="53" t="s">
        <v>193</v>
      </c>
      <c r="F148" s="41">
        <f>B3</f>
        <v>0</v>
      </c>
      <c r="G148" s="41">
        <f t="shared" si="94"/>
        <v>0</v>
      </c>
      <c r="H148" s="58">
        <v>0.0</v>
      </c>
      <c r="I148" s="52">
        <f t="shared" si="95"/>
        <v>0</v>
      </c>
      <c r="J148" s="36"/>
      <c r="K148" s="36"/>
      <c r="L148" s="36"/>
      <c r="M148" s="36"/>
      <c r="N148" s="36"/>
      <c r="O148" s="36"/>
    </row>
    <row r="149" ht="15.75" customHeight="1">
      <c r="I149" s="28"/>
      <c r="J149" s="36"/>
      <c r="K149" s="36"/>
      <c r="L149" s="36"/>
      <c r="M149" s="36"/>
      <c r="N149" s="36"/>
      <c r="O149" s="36"/>
    </row>
    <row r="150" ht="15.75" customHeight="1">
      <c r="A150" s="62" t="s">
        <v>202</v>
      </c>
      <c r="B150" s="36"/>
      <c r="C150" s="36"/>
      <c r="D150" s="36"/>
      <c r="E150" s="36"/>
      <c r="F150" s="36"/>
      <c r="G150" s="36"/>
      <c r="H150" s="36"/>
      <c r="I150" s="28"/>
      <c r="J150" s="36"/>
      <c r="K150" s="36"/>
      <c r="L150" s="36"/>
      <c r="M150" s="36"/>
      <c r="N150" s="36"/>
      <c r="O150" s="36"/>
    </row>
    <row r="151" ht="15.75" customHeight="1">
      <c r="A151" s="20" t="s">
        <v>55</v>
      </c>
      <c r="B151" s="20" t="s">
        <v>133</v>
      </c>
      <c r="C151" s="20" t="s">
        <v>134</v>
      </c>
      <c r="D151" s="20" t="s">
        <v>135</v>
      </c>
      <c r="E151" s="20" t="s">
        <v>136</v>
      </c>
      <c r="F151" s="20" t="s">
        <v>76</v>
      </c>
      <c r="G151" s="49" t="s">
        <v>137</v>
      </c>
      <c r="H151" s="50" t="s">
        <v>138</v>
      </c>
      <c r="I151" s="50" t="s">
        <v>29</v>
      </c>
      <c r="J151" s="36"/>
      <c r="K151" s="36"/>
      <c r="L151" s="36"/>
      <c r="M151" s="36"/>
      <c r="N151" s="36"/>
      <c r="O151" s="36"/>
    </row>
    <row r="152" ht="15.75" customHeight="1">
      <c r="A152" s="53" t="s">
        <v>203</v>
      </c>
      <c r="B152" s="53" t="s">
        <v>156</v>
      </c>
      <c r="C152" s="53">
        <v>1.0</v>
      </c>
      <c r="D152" s="54">
        <v>500.0</v>
      </c>
      <c r="E152" s="53" t="s">
        <v>156</v>
      </c>
      <c r="F152" s="41">
        <v>1.0</v>
      </c>
      <c r="G152" s="41">
        <f t="shared" ref="G152:G154" si="98">ROUNDUP(F152,0)</f>
        <v>1</v>
      </c>
      <c r="H152" s="58">
        <v>0.0</v>
      </c>
      <c r="I152" s="52">
        <f t="shared" ref="I152:I154" si="99">(G152*D152)*(1+H152)</f>
        <v>500</v>
      </c>
      <c r="J152" s="36"/>
      <c r="K152" s="36"/>
      <c r="L152" s="36"/>
      <c r="M152" s="36"/>
      <c r="N152" s="36"/>
      <c r="O152" s="36"/>
    </row>
    <row r="153" ht="15.75" customHeight="1">
      <c r="A153" s="53" t="s">
        <v>105</v>
      </c>
      <c r="B153" s="53" t="s">
        <v>156</v>
      </c>
      <c r="C153" s="53">
        <v>1.0</v>
      </c>
      <c r="D153" s="54">
        <v>200.0</v>
      </c>
      <c r="E153" s="53" t="s">
        <v>156</v>
      </c>
      <c r="F153" s="41">
        <v>1.0</v>
      </c>
      <c r="G153" s="41">
        <f t="shared" si="98"/>
        <v>1</v>
      </c>
      <c r="H153" s="58">
        <v>0.1</v>
      </c>
      <c r="I153" s="52">
        <f t="shared" si="99"/>
        <v>220</v>
      </c>
      <c r="J153" s="36"/>
      <c r="K153" s="36"/>
      <c r="L153" s="36"/>
      <c r="M153" s="36"/>
      <c r="N153" s="36"/>
      <c r="O153" s="36"/>
    </row>
    <row r="154" ht="15.75" customHeight="1">
      <c r="A154" s="53" t="s">
        <v>204</v>
      </c>
      <c r="B154" s="53" t="s">
        <v>156</v>
      </c>
      <c r="C154" s="53">
        <v>1.0</v>
      </c>
      <c r="D154" s="54">
        <v>50.0</v>
      </c>
      <c r="E154" s="53" t="s">
        <v>156</v>
      </c>
      <c r="F154" s="41">
        <v>1.0</v>
      </c>
      <c r="G154" s="41">
        <f t="shared" si="98"/>
        <v>1</v>
      </c>
      <c r="H154" s="58">
        <v>0.1</v>
      </c>
      <c r="I154" s="52">
        <f t="shared" si="99"/>
        <v>55</v>
      </c>
      <c r="J154" s="36"/>
      <c r="K154" s="36"/>
      <c r="L154" s="36"/>
      <c r="M154" s="36"/>
      <c r="N154" s="36"/>
      <c r="O154" s="36"/>
    </row>
    <row r="155" ht="15.75" customHeight="1">
      <c r="J155" s="36"/>
      <c r="K155" s="36"/>
      <c r="L155" s="36"/>
      <c r="M155" s="36"/>
      <c r="N155" s="36"/>
      <c r="O155" s="36"/>
    </row>
    <row r="156" ht="15.75" customHeight="1"/>
    <row r="157" ht="15.75" customHeight="1">
      <c r="A157" s="53" t="s">
        <v>61</v>
      </c>
      <c r="B157" s="53"/>
      <c r="C157" s="53"/>
      <c r="D157" s="53"/>
    </row>
    <row r="158" ht="15.75" customHeight="1">
      <c r="A158" s="53" t="s">
        <v>55</v>
      </c>
      <c r="B158" s="53" t="s">
        <v>205</v>
      </c>
      <c r="C158" s="53" t="s">
        <v>192</v>
      </c>
      <c r="D158" s="53" t="s">
        <v>29</v>
      </c>
    </row>
    <row r="159" ht="15.75" customHeight="1">
      <c r="A159" s="53" t="s">
        <v>206</v>
      </c>
      <c r="B159" s="45">
        <v>0.0</v>
      </c>
      <c r="C159" s="45">
        <f>I139</f>
        <v>464</v>
      </c>
      <c r="D159" s="45">
        <f t="shared" ref="D159:D170" si="100">SUM(B159:C159)</f>
        <v>464</v>
      </c>
    </row>
    <row r="160" ht="15.75" customHeight="1">
      <c r="A160" s="53" t="s">
        <v>6</v>
      </c>
      <c r="B160" s="45">
        <f t="shared" ref="B160:B170" si="101">I116</f>
        <v>30.8</v>
      </c>
      <c r="C160" s="45">
        <v>0.0</v>
      </c>
      <c r="D160" s="45">
        <f t="shared" si="100"/>
        <v>30.8</v>
      </c>
    </row>
    <row r="161" ht="15.75" customHeight="1">
      <c r="A161" s="53" t="s">
        <v>11</v>
      </c>
      <c r="B161" s="45">
        <f t="shared" si="101"/>
        <v>0</v>
      </c>
      <c r="C161" s="45">
        <v>0.0</v>
      </c>
      <c r="D161" s="45">
        <f t="shared" si="100"/>
        <v>0</v>
      </c>
    </row>
    <row r="162" ht="15.75" customHeight="1">
      <c r="A162" s="53" t="s">
        <v>68</v>
      </c>
      <c r="B162" s="45">
        <f t="shared" si="101"/>
        <v>77</v>
      </c>
      <c r="C162" s="45">
        <v>0.0</v>
      </c>
      <c r="D162" s="45">
        <f t="shared" si="100"/>
        <v>77</v>
      </c>
    </row>
    <row r="163" ht="15.75" customHeight="1">
      <c r="A163" s="53" t="s">
        <v>174</v>
      </c>
      <c r="B163" s="45">
        <f t="shared" si="101"/>
        <v>0</v>
      </c>
      <c r="C163" s="45">
        <f t="shared" ref="C163:C164" si="102">I141</f>
        <v>0</v>
      </c>
      <c r="D163" s="45">
        <f t="shared" si="100"/>
        <v>0</v>
      </c>
    </row>
    <row r="164" ht="15.75" customHeight="1">
      <c r="A164" s="53" t="s">
        <v>176</v>
      </c>
      <c r="B164" s="45">
        <f t="shared" si="101"/>
        <v>0</v>
      </c>
      <c r="C164" s="45">
        <f t="shared" si="102"/>
        <v>0</v>
      </c>
      <c r="D164" s="45">
        <f t="shared" si="100"/>
        <v>0</v>
      </c>
    </row>
    <row r="165" ht="15.75" customHeight="1">
      <c r="A165" s="53" t="s">
        <v>178</v>
      </c>
      <c r="B165" s="45">
        <f t="shared" si="101"/>
        <v>385</v>
      </c>
      <c r="C165" s="45">
        <f>I140</f>
        <v>150</v>
      </c>
      <c r="D165" s="45">
        <f t="shared" si="100"/>
        <v>535</v>
      </c>
    </row>
    <row r="166" ht="15.75" customHeight="1">
      <c r="A166" s="53" t="s">
        <v>180</v>
      </c>
      <c r="B166" s="45">
        <f t="shared" si="101"/>
        <v>0</v>
      </c>
      <c r="C166" s="45">
        <f t="shared" ref="C166:C169" si="103">I143</f>
        <v>0</v>
      </c>
      <c r="D166" s="45">
        <f t="shared" si="100"/>
        <v>0</v>
      </c>
    </row>
    <row r="167" ht="15.75" customHeight="1">
      <c r="A167" s="53" t="s">
        <v>182</v>
      </c>
      <c r="B167" s="45">
        <f t="shared" si="101"/>
        <v>66</v>
      </c>
      <c r="C167" s="45">
        <f t="shared" si="103"/>
        <v>105</v>
      </c>
      <c r="D167" s="45">
        <f t="shared" si="100"/>
        <v>171</v>
      </c>
    </row>
    <row r="168" ht="15.75" customHeight="1">
      <c r="A168" s="53" t="s">
        <v>183</v>
      </c>
      <c r="B168" s="45">
        <f t="shared" si="101"/>
        <v>0</v>
      </c>
      <c r="C168" s="45">
        <f t="shared" si="103"/>
        <v>0</v>
      </c>
      <c r="D168" s="45">
        <f t="shared" si="100"/>
        <v>0</v>
      </c>
    </row>
    <row r="169" ht="15.75" customHeight="1">
      <c r="A169" s="53" t="s">
        <v>184</v>
      </c>
      <c r="B169" s="45">
        <f t="shared" si="101"/>
        <v>0</v>
      </c>
      <c r="C169" s="45">
        <f t="shared" si="103"/>
        <v>0</v>
      </c>
      <c r="D169" s="45">
        <f t="shared" si="100"/>
        <v>0</v>
      </c>
    </row>
    <row r="170" ht="15.75" customHeight="1">
      <c r="A170" s="53" t="s">
        <v>185</v>
      </c>
      <c r="B170" s="45">
        <f t="shared" si="101"/>
        <v>0</v>
      </c>
      <c r="C170" s="45">
        <v>0.0</v>
      </c>
      <c r="D170" s="45">
        <f t="shared" si="100"/>
        <v>0</v>
      </c>
    </row>
    <row r="171" ht="15.75" customHeight="1">
      <c r="A171" s="53"/>
      <c r="B171" s="53"/>
      <c r="C171" s="53" t="s">
        <v>29</v>
      </c>
      <c r="D171" s="45">
        <f>SUM(D159:D170)</f>
        <v>1277.8</v>
      </c>
    </row>
    <row r="172" ht="15.75" customHeight="1">
      <c r="A172" s="53"/>
      <c r="B172" s="53"/>
      <c r="C172" s="53"/>
      <c r="D172" s="53"/>
    </row>
    <row r="173" ht="15.75" customHeight="1">
      <c r="A173" s="53" t="s">
        <v>186</v>
      </c>
      <c r="B173" s="53" t="s">
        <v>205</v>
      </c>
      <c r="C173" s="53" t="s">
        <v>192</v>
      </c>
      <c r="D173" s="53" t="s">
        <v>29</v>
      </c>
    </row>
    <row r="174" ht="15.75" customHeight="1">
      <c r="A174" s="53" t="s">
        <v>207</v>
      </c>
      <c r="B174" s="45">
        <v>0.0</v>
      </c>
      <c r="C174" s="45">
        <f t="shared" ref="C174:C176" si="104">I129</f>
        <v>0</v>
      </c>
      <c r="D174" s="45">
        <f t="shared" ref="D174:D176" si="105">SUM(B174:C174)</f>
        <v>0</v>
      </c>
    </row>
    <row r="175" ht="15.75" customHeight="1">
      <c r="A175" s="53" t="s">
        <v>188</v>
      </c>
      <c r="B175" s="45">
        <v>0.0</v>
      </c>
      <c r="C175" s="45">
        <f t="shared" si="104"/>
        <v>0</v>
      </c>
      <c r="D175" s="45">
        <f t="shared" si="105"/>
        <v>0</v>
      </c>
    </row>
    <row r="176" ht="15.75" customHeight="1">
      <c r="A176" s="53" t="s">
        <v>190</v>
      </c>
      <c r="B176" s="45">
        <v>0.0</v>
      </c>
      <c r="C176" s="45">
        <f t="shared" si="104"/>
        <v>0</v>
      </c>
      <c r="D176" s="45">
        <f t="shared" si="105"/>
        <v>0</v>
      </c>
    </row>
    <row r="177" ht="15.75" customHeight="1">
      <c r="A177" s="53"/>
      <c r="B177" s="53"/>
      <c r="C177" s="53" t="s">
        <v>29</v>
      </c>
      <c r="D177" s="45">
        <f>SUM(D174:D176)</f>
        <v>0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